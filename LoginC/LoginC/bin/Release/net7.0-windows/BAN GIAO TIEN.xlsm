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updateLinks="never" codeName="ThisWorkbook"/>
  <mc:AlternateContent xmlns:mc="http://schemas.openxmlformats.org/markup-compatibility/2006">
    <mc:Choice Requires="x15">
      <x15ac:absPath xmlns:x15ac="http://schemas.microsoft.com/office/spreadsheetml/2010/11/ac" url="E:\Ban giao tien\"/>
    </mc:Choice>
  </mc:AlternateContent>
  <xr:revisionPtr revIDLastSave="0" documentId="13_ncr:1_{619BB881-ECDF-46A2-BCAF-26EAE2E3F034}" xr6:coauthVersionLast="47" xr6:coauthVersionMax="47" xr10:uidLastSave="{00000000-0000-0000-0000-000000000000}"/>
  <bookViews>
    <workbookView xWindow="-108" yWindow="-108" windowWidth="23256" windowHeight="12456" tabRatio="794" xr2:uid="{00000000-000D-0000-FFFF-FFFF00000000}"/>
  </bookViews>
  <sheets>
    <sheet name="Sheet1" sheetId="1" r:id="rId1"/>
    <sheet name="BCQ" sheetId="19" state="hidden" r:id="rId2"/>
    <sheet name="1" sheetId="18" state="hidden" r:id="rId3"/>
    <sheet name="sheet2" sheetId="16" state="hidden" r:id="rId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4" i="1" l="1"/>
  <c r="G25" i="1"/>
  <c r="G26" i="1"/>
  <c r="G27" i="1"/>
  <c r="G28" i="1"/>
  <c r="G29" i="1"/>
  <c r="G30" i="1"/>
  <c r="G31" i="1"/>
  <c r="G32" i="1"/>
  <c r="G33" i="1"/>
  <c r="G34" i="1"/>
  <c r="G35" i="1"/>
  <c r="G36" i="1"/>
  <c r="G37" i="1"/>
  <c r="G38" i="1"/>
  <c r="G39" i="1"/>
  <c r="G40" i="1"/>
  <c r="G41" i="1"/>
  <c r="G42" i="1"/>
  <c r="G43" i="1"/>
  <c r="G44" i="1"/>
  <c r="G45" i="1"/>
  <c r="G46" i="1"/>
  <c r="G47" i="1"/>
  <c r="G48" i="1"/>
  <c r="G49" i="1"/>
  <c r="G21" i="1"/>
  <c r="G22"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G23" i="1"/>
  <c r="Q8" i="1"/>
  <c r="Q9" i="1"/>
  <c r="Q10" i="1"/>
  <c r="Q11" i="1"/>
  <c r="Q12" i="1"/>
  <c r="Q13" i="1"/>
  <c r="Q14" i="1"/>
  <c r="Q15" i="1"/>
  <c r="Q16" i="1"/>
  <c r="C2" i="1" l="1"/>
  <c r="F2" i="1"/>
  <c r="I8" i="1"/>
  <c r="J8" i="1" s="1"/>
  <c r="I9" i="1"/>
  <c r="J9" i="1" s="1"/>
  <c r="I10" i="1"/>
  <c r="J10" i="1" s="1"/>
  <c r="I11" i="1"/>
  <c r="J11" i="1" s="1"/>
  <c r="I12" i="1"/>
  <c r="J12" i="1" s="1"/>
  <c r="I13" i="1"/>
  <c r="J13" i="1" s="1"/>
  <c r="I14" i="1"/>
  <c r="J14" i="1" s="1"/>
  <c r="I15" i="1"/>
  <c r="J15" i="1" s="1"/>
  <c r="I16" i="1"/>
  <c r="J16" i="1" s="1"/>
  <c r="I7" i="1"/>
  <c r="J7" i="1" s="1"/>
  <c r="C18" i="18"/>
  <c r="C18" i="16"/>
  <c r="Q7" i="1"/>
  <c r="Q17" i="1" s="1"/>
  <c r="Q18" i="1" s="1"/>
  <c r="J17" i="1" l="1"/>
  <c r="J18" i="1"/>
  <c r="R18" i="1"/>
  <c r="K18" i="1" l="1"/>
  <c r="C7" i="1" l="1"/>
  <c r="C8" i="1"/>
  <c r="C9" i="1"/>
  <c r="C10" i="1"/>
  <c r="C11" i="1"/>
  <c r="C12" i="1"/>
  <c r="C13" i="1"/>
  <c r="C14" i="1"/>
  <c r="C15" i="1"/>
  <c r="C16" i="1"/>
  <c r="C17" i="1" l="1"/>
  <c r="C18" i="1" s="1"/>
  <c r="D18"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PC</author>
  </authors>
  <commentList>
    <comment ref="C4" authorId="0" shapeId="0" xr:uid="{00000000-0006-0000-0000-000001000000}">
      <text>
        <r>
          <rPr>
            <b/>
            <sz val="12"/>
            <color indexed="81"/>
            <rFont val="Tahoma"/>
            <family val="2"/>
          </rPr>
          <t>Nếu lên Báo cáo quỹ rồi không được điền vào đây</t>
        </r>
      </text>
    </comment>
  </commentList>
</comments>
</file>

<file path=xl/sharedStrings.xml><?xml version="1.0" encoding="utf-8"?>
<sst xmlns="http://schemas.openxmlformats.org/spreadsheetml/2006/main" count="80" uniqueCount="40">
  <si>
    <t>BÀN GIAO TIỀN BÁN HÀNG</t>
  </si>
  <si>
    <t>1. DOANH SỐ</t>
  </si>
  <si>
    <t>2. TIỀN LẺ</t>
  </si>
  <si>
    <t>3. TIÊN CHI KHÁC</t>
  </si>
  <si>
    <t>BẢNG KÊ TIỀN</t>
  </si>
  <si>
    <t>MỆNH GIÁ</t>
  </si>
  <si>
    <t>SỐ TỜ</t>
  </si>
  <si>
    <t>THÀNH TIỀN</t>
  </si>
  <si>
    <t>GHI CHÚ</t>
  </si>
  <si>
    <t>TỔNG CỘNG</t>
  </si>
  <si>
    <t>CHÊNH LỆCH</t>
  </si>
  <si>
    <t>MÃ NV</t>
  </si>
  <si>
    <t>HỌ TÊN</t>
  </si>
  <si>
    <t>DOANH SỐ</t>
  </si>
  <si>
    <t>MÃ NHÂN VIÊN</t>
  </si>
  <si>
    <t>Thiếu tiền, kiểm tra lại</t>
  </si>
  <si>
    <t>BÁO CÁO CUỐI NGÀY</t>
  </si>
  <si>
    <t>Thông báo</t>
  </si>
  <si>
    <t>Nhân viên đã thu tiền rồi, bạn đừng thu nữa nhé</t>
  </si>
  <si>
    <t>BẢNG ĐẾM TIỀN RIÊNG</t>
  </si>
  <si>
    <t>Mã NV Tạo</t>
  </si>
  <si>
    <t>Tên NV Tạo</t>
  </si>
  <si>
    <r>
      <t xml:space="preserve"> Nhấp đúp chuột vào </t>
    </r>
    <r>
      <rPr>
        <b/>
        <i/>
        <sz val="13"/>
        <color rgb="FFFF0000"/>
        <rFont val="Calibri"/>
        <family val="2"/>
        <scheme val="minor"/>
      </rPr>
      <t>ô tên nhân viên</t>
    </r>
    <r>
      <rPr>
        <i/>
        <sz val="13"/>
        <color theme="1"/>
        <rFont val="Calibri"/>
        <family val="2"/>
        <scheme val="minor"/>
      </rPr>
      <t xml:space="preserve"> để chuyển đến bảng kê tiền chi tiết và chỉnh sửa</t>
    </r>
  </si>
  <si>
    <t>Hướng dẫn xuất BÁO CÁO QUỸ</t>
  </si>
  <si>
    <t>Xuất BÁO CÁO QUỸ tất cả nhân viên lưu vào cùng thư mục với file này
Đặt tên là BAO CAO QUY (không dấu)
Sau khi xuất báo cáo quỹ xong thì nhấn RELOAD để load dữ liệu lại</t>
  </si>
  <si>
    <t>Hướng dẫn</t>
  </si>
  <si>
    <t>Tạo ra 1 bản backup và xóa hết dữ liệu
Rồi đóng file lại</t>
  </si>
  <si>
    <t>Lưu dữ liệu sau khi thu tiền xuống bảng và tạo ra sheet lưu</t>
  </si>
  <si>
    <t>Huỳnh Hoàng Tuấn</t>
  </si>
  <si>
    <t>Đầu tiên nhấn vào EXTRACT BCQ để hướng dẫn lấy dữ liệu (màu hồng)</t>
  </si>
  <si>
    <r>
      <t xml:space="preserve">Hướng dẫn xuất Báo cáo quỹ
Hiện lại nút </t>
    </r>
    <r>
      <rPr>
        <b/>
        <sz val="11"/>
        <color rgb="FFFF0000"/>
        <rFont val="Calibri"/>
        <family val="2"/>
        <scheme val="minor"/>
      </rPr>
      <t>RELOAD (nếu ẩn)</t>
    </r>
  </si>
  <si>
    <r>
      <t xml:space="preserve">Kiểm tiền khi không đổ được Báo cáo quỹ 
</t>
    </r>
    <r>
      <rPr>
        <b/>
        <sz val="11"/>
        <color rgb="FFFF0000"/>
        <rFont val="Calibri"/>
        <family val="2"/>
        <scheme val="minor"/>
      </rPr>
      <t>KHÔNG</t>
    </r>
    <r>
      <rPr>
        <b/>
        <sz val="11"/>
        <color theme="1"/>
        <rFont val="Calibri"/>
        <family val="2"/>
        <scheme val="minor"/>
      </rPr>
      <t xml:space="preserve"> được nhấn </t>
    </r>
    <r>
      <rPr>
        <b/>
        <sz val="11"/>
        <color rgb="FFFF0000"/>
        <rFont val="Calibri"/>
        <family val="2"/>
        <scheme val="minor"/>
      </rPr>
      <t>RELOAD</t>
    </r>
  </si>
  <si>
    <r>
      <t xml:space="preserve">3. TIÊN CHI KHÁC
</t>
    </r>
    <r>
      <rPr>
        <b/>
        <sz val="15"/>
        <color rgb="FFFF0000"/>
        <rFont val="Arial"/>
        <family val="2"/>
      </rPr>
      <t>(Không lên BCQ)</t>
    </r>
  </si>
  <si>
    <t>TIỀN MẶT CUỐI NGÀY</t>
  </si>
  <si>
    <t>Chọn một nhân viên thu tiền</t>
  </si>
  <si>
    <r>
      <t xml:space="preserve">Nhấn vào nút </t>
    </r>
    <r>
      <rPr>
        <b/>
        <i/>
        <sz val="13"/>
        <color rgb="FFFF0000"/>
        <rFont val="Calibri"/>
        <family val="2"/>
        <scheme val="minor"/>
      </rPr>
      <t>Trang chu</t>
    </r>
    <r>
      <rPr>
        <i/>
        <sz val="13"/>
        <color theme="1"/>
        <rFont val="Calibri"/>
        <family val="2"/>
        <scheme val="minor"/>
      </rPr>
      <t xml:space="preserve"> để trở về đồng thời đồng bộ dữ liệu đếm tiền vào bảng bên trái</t>
    </r>
  </si>
  <si>
    <t>Hãy chọn một nhân viên để thu tiền!</t>
  </si>
  <si>
    <t>Load lại dữ liệu khi đổ lại Báo cáo quỹ cuối cùng
Chọn nhân viên thu tiền</t>
  </si>
  <si>
    <t>a</t>
  </si>
  <si>
    <t>Giang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</si>
</sst>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1" formatCode="_(* #,##0_);_(* \(#,##0\);_(* &quot;-&quot;_);_(@_)"/>
  </numFmts>
  <fonts count="32" x14ac:knownFonts="1">
    <font>
      <sz val="11"/>
      <color theme="1"/>
      <name val="Calibri"/>
      <family val="2"/>
      <scheme val="minor"/>
    </font>
    <font>
      <b/>
      <sz val="11"/>
      <color theme="1"/>
      <name val="Calibri"/>
      <family val="2"/>
      <scheme val="minor"/>
    </font>
    <font>
      <sz val="48"/>
      <color theme="1"/>
      <name val="Calibri"/>
      <family val="2"/>
      <scheme val="minor"/>
    </font>
    <font>
      <sz val="11"/>
      <color theme="1"/>
      <name val="Arial"/>
      <family val="2"/>
    </font>
    <font>
      <b/>
      <sz val="30"/>
      <color theme="1"/>
      <name val="Arial"/>
      <family val="2"/>
    </font>
    <font>
      <b/>
      <sz val="11"/>
      <color theme="1"/>
      <name val="Arial"/>
      <family val="2"/>
    </font>
    <font>
      <b/>
      <sz val="15"/>
      <color theme="1"/>
      <name val="Arial"/>
      <family val="2"/>
    </font>
    <font>
      <sz val="48"/>
      <color rgb="FFFF0000"/>
      <name val="Arial"/>
      <family val="2"/>
    </font>
    <font>
      <sz val="48"/>
      <color rgb="FFFF0000"/>
      <name val="Calibri"/>
      <family val="2"/>
      <scheme val="minor"/>
    </font>
    <font>
      <sz val="20"/>
      <color rgb="FFFF0000"/>
      <name val="Arial"/>
      <family val="2"/>
    </font>
    <font>
      <b/>
      <sz val="13"/>
      <color theme="1"/>
      <name val="Arial"/>
      <family val="2"/>
    </font>
    <font>
      <sz val="13"/>
      <color theme="1"/>
      <name val="Arial"/>
      <family val="2"/>
    </font>
    <font>
      <sz val="8"/>
      <name val="Calibri"/>
      <family val="2"/>
      <scheme val="minor"/>
    </font>
    <font>
      <sz val="15"/>
      <color theme="1"/>
      <name val="Arial"/>
      <family val="2"/>
    </font>
    <font>
      <sz val="15"/>
      <color theme="1"/>
      <name val="Calibri"/>
      <family val="2"/>
      <scheme val="minor"/>
    </font>
    <font>
      <sz val="12"/>
      <color theme="1"/>
      <name val="Arial"/>
      <family val="2"/>
    </font>
    <font>
      <sz val="40"/>
      <color rgb="FFFF0000"/>
      <name val="Calibri"/>
      <family val="2"/>
      <scheme val="minor"/>
    </font>
    <font>
      <sz val="40"/>
      <color theme="1"/>
      <name val="Calibri"/>
      <family val="2"/>
      <scheme val="minor"/>
    </font>
    <font>
      <b/>
      <sz val="26"/>
      <color rgb="FFFF0000"/>
      <name val="Calibri"/>
      <family val="2"/>
      <scheme val="minor"/>
    </font>
    <font>
      <sz val="40"/>
      <color rgb="FFFF0000"/>
      <name val="Arial"/>
      <family val="2"/>
    </font>
    <font>
      <sz val="11"/>
      <color theme="0"/>
      <name val="Calibri"/>
      <family val="2"/>
      <scheme val="minor"/>
    </font>
    <font>
      <b/>
      <sz val="13"/>
      <color theme="1"/>
      <name val="Calibri"/>
      <family val="2"/>
      <scheme val="minor"/>
    </font>
    <font>
      <i/>
      <sz val="13"/>
      <color theme="1"/>
      <name val="Calibri"/>
      <family val="2"/>
      <scheme val="minor"/>
    </font>
    <font>
      <b/>
      <i/>
      <sz val="13"/>
      <color rgb="FFFF0000"/>
      <name val="Calibri"/>
      <family val="2"/>
      <scheme val="minor"/>
    </font>
    <font>
      <b/>
      <sz val="13"/>
      <name val="Calibri"/>
      <family val="2"/>
      <scheme val="minor"/>
    </font>
    <font>
      <b/>
      <sz val="13"/>
      <color theme="0"/>
      <name val="Calibri"/>
      <family val="2"/>
      <scheme val="minor"/>
    </font>
    <font>
      <b/>
      <sz val="11"/>
      <color rgb="FFFF0000"/>
      <name val="Calibri"/>
      <family val="2"/>
      <scheme val="minor"/>
    </font>
    <font>
      <b/>
      <sz val="15"/>
      <color rgb="FFFF0000"/>
      <name val="Arial"/>
      <family val="2"/>
    </font>
    <font>
      <sz val="11"/>
      <name val="Calibri"/>
      <family val="2"/>
      <scheme val="minor"/>
    </font>
    <font>
      <sz val="12"/>
      <name val="Calibri"/>
      <family val="2"/>
      <scheme val="minor"/>
    </font>
    <font>
      <b/>
      <sz val="12"/>
      <color indexed="81"/>
      <name val="Tahoma"/>
      <family val="2"/>
    </font>
    <font>
      <sz val="11"/>
      <color rgb="FFFF0000"/>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66FFFF"/>
        <bgColor indexed="64"/>
      </patternFill>
    </fill>
    <fill>
      <patternFill patternType="solid">
        <fgColor theme="7"/>
        <bgColor indexed="64"/>
      </patternFill>
    </fill>
    <fill>
      <patternFill patternType="solid">
        <fgColor rgb="FF00FF00"/>
        <bgColor indexed="64"/>
      </patternFill>
    </fill>
    <fill>
      <patternFill patternType="solid">
        <fgColor theme="5"/>
        <bgColor indexed="64"/>
      </patternFill>
    </fill>
    <fill>
      <patternFill patternType="solid">
        <fgColor rgb="FFFF0000"/>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s>
  <cellStyleXfs count="1">
    <xf numFmtId="0" fontId="0" fillId="0" borderId="0"/>
  </cellStyleXfs>
  <cellXfs count="90">
    <xf numFmtId="0" fontId="0" fillId="0" borderId="0" xfId="0"/>
    <xf numFmtId="0" fontId="3" fillId="2" borderId="0" xfId="0" applyFont="1" applyFill="1"/>
    <xf numFmtId="0" fontId="4" fillId="2" borderId="0" xfId="0" applyFont="1" applyFill="1"/>
    <xf numFmtId="0" fontId="7" fillId="2" borderId="0" xfId="0" applyFont="1" applyFill="1"/>
    <xf numFmtId="0" fontId="7" fillId="2" borderId="0" xfId="0" applyFont="1" applyFill="1" applyAlignment="1">
      <alignment horizontal="center"/>
    </xf>
    <xf numFmtId="0" fontId="3" fillId="2" borderId="0" xfId="0" applyFont="1" applyFill="1" applyAlignment="1">
      <alignment horizontal="center"/>
    </xf>
    <xf numFmtId="3" fontId="10" fillId="2" borderId="1" xfId="0" applyNumberFormat="1" applyFont="1" applyFill="1" applyBorder="1" applyAlignment="1">
      <alignment horizontal="center"/>
    </xf>
    <xf numFmtId="3" fontId="10" fillId="2" borderId="1" xfId="0" applyNumberFormat="1" applyFont="1" applyFill="1" applyBorder="1"/>
    <xf numFmtId="3" fontId="10" fillId="2" borderId="1" xfId="0" applyNumberFormat="1" applyFont="1" applyFill="1" applyBorder="1" applyProtection="1">
      <protection hidden="1"/>
    </xf>
    <xf numFmtId="41" fontId="10" fillId="2" borderId="1" xfId="0" applyNumberFormat="1" applyFont="1" applyFill="1" applyBorder="1" applyProtection="1">
      <protection hidden="1"/>
    </xf>
    <xf numFmtId="41" fontId="10" fillId="7" borderId="1" xfId="0" applyNumberFormat="1" applyFont="1" applyFill="1" applyBorder="1" applyProtection="1">
      <protection hidden="1"/>
    </xf>
    <xf numFmtId="0" fontId="11" fillId="2" borderId="1" xfId="0" applyFont="1" applyFill="1" applyBorder="1" applyProtection="1">
      <protection hidden="1"/>
    </xf>
    <xf numFmtId="0" fontId="15" fillId="3" borderId="1" xfId="0" applyFont="1" applyFill="1" applyBorder="1" applyAlignment="1" applyProtection="1">
      <alignment horizontal="center"/>
      <protection hidden="1"/>
    </xf>
    <xf numFmtId="0" fontId="0" fillId="2" borderId="0" xfId="0" applyFill="1" applyProtection="1">
      <protection locked="0"/>
    </xf>
    <xf numFmtId="41" fontId="10" fillId="3" borderId="1" xfId="0" applyNumberFormat="1" applyFont="1" applyFill="1" applyBorder="1" applyProtection="1">
      <protection hidden="1"/>
    </xf>
    <xf numFmtId="3" fontId="10" fillId="2" borderId="1" xfId="0" applyNumberFormat="1" applyFont="1" applyFill="1" applyBorder="1" applyAlignment="1" applyProtection="1">
      <alignment horizontal="center"/>
      <protection locked="0"/>
    </xf>
    <xf numFmtId="3" fontId="10" fillId="2" borderId="1" xfId="0" applyNumberFormat="1" applyFont="1" applyFill="1" applyBorder="1" applyProtection="1">
      <protection locked="0"/>
    </xf>
    <xf numFmtId="0" fontId="3" fillId="2" borderId="0" xfId="0" applyFont="1" applyFill="1" applyProtection="1">
      <protection locked="0"/>
    </xf>
    <xf numFmtId="0" fontId="7" fillId="2" borderId="0" xfId="0" applyFont="1" applyFill="1" applyProtection="1">
      <protection hidden="1"/>
    </xf>
    <xf numFmtId="0" fontId="7" fillId="2" borderId="0" xfId="0" applyFont="1" applyFill="1" applyAlignment="1" applyProtection="1">
      <alignment horizontal="center"/>
      <protection hidden="1"/>
    </xf>
    <xf numFmtId="0" fontId="8" fillId="2" borderId="0" xfId="0" applyFont="1" applyFill="1" applyProtection="1">
      <protection hidden="1"/>
    </xf>
    <xf numFmtId="0" fontId="2" fillId="2" borderId="0" xfId="0" applyFont="1" applyFill="1" applyProtection="1">
      <protection hidden="1"/>
    </xf>
    <xf numFmtId="0" fontId="3" fillId="2" borderId="0" xfId="0" applyFont="1" applyFill="1" applyProtection="1">
      <protection hidden="1"/>
    </xf>
    <xf numFmtId="0" fontId="13" fillId="4" borderId="1" xfId="0" applyFont="1" applyFill="1" applyBorder="1" applyProtection="1">
      <protection hidden="1"/>
    </xf>
    <xf numFmtId="0" fontId="0" fillId="2" borderId="0" xfId="0" applyFill="1" applyProtection="1">
      <protection hidden="1"/>
    </xf>
    <xf numFmtId="0" fontId="4" fillId="2" borderId="0" xfId="0" applyFont="1" applyFill="1" applyProtection="1">
      <protection hidden="1"/>
    </xf>
    <xf numFmtId="0" fontId="3" fillId="2" borderId="0" xfId="0" applyFont="1" applyFill="1" applyAlignment="1" applyProtection="1">
      <alignment horizontal="center"/>
      <protection hidden="1"/>
    </xf>
    <xf numFmtId="0" fontId="0" fillId="2" borderId="0" xfId="0" applyFill="1" applyAlignment="1" applyProtection="1">
      <alignment horizontal="center"/>
      <protection hidden="1"/>
    </xf>
    <xf numFmtId="0" fontId="19" fillId="2" borderId="0" xfId="0" applyFont="1" applyFill="1" applyAlignment="1" applyProtection="1">
      <alignment vertical="center"/>
      <protection hidden="1"/>
    </xf>
    <xf numFmtId="41" fontId="0" fillId="2" borderId="0" xfId="0" applyNumberFormat="1" applyFill="1" applyProtection="1">
      <protection hidden="1"/>
    </xf>
    <xf numFmtId="0" fontId="0" fillId="0" borderId="1" xfId="0" applyBorder="1"/>
    <xf numFmtId="0" fontId="20" fillId="2" borderId="0" xfId="0" applyFont="1" applyFill="1" applyProtection="1">
      <protection hidden="1"/>
    </xf>
    <xf numFmtId="0" fontId="20" fillId="2" borderId="0" xfId="0" applyFont="1" applyFill="1" applyAlignment="1" applyProtection="1">
      <alignment horizontal="center"/>
      <protection hidden="1"/>
    </xf>
    <xf numFmtId="0" fontId="14" fillId="4" borderId="1" xfId="0" applyFont="1" applyFill="1" applyBorder="1" applyAlignment="1" applyProtection="1">
      <alignment horizontal="center"/>
      <protection hidden="1"/>
    </xf>
    <xf numFmtId="0" fontId="10" fillId="2" borderId="5" xfId="0" applyFont="1" applyFill="1" applyBorder="1" applyAlignment="1" applyProtection="1">
      <alignment horizontal="center"/>
      <protection hidden="1"/>
    </xf>
    <xf numFmtId="0" fontId="10" fillId="5" borderId="4" xfId="0" applyFont="1" applyFill="1" applyBorder="1" applyAlignment="1" applyProtection="1">
      <alignment horizontal="center"/>
      <protection hidden="1"/>
    </xf>
    <xf numFmtId="0" fontId="10" fillId="5" borderId="4" xfId="0" applyFont="1" applyFill="1" applyBorder="1" applyAlignment="1" applyProtection="1">
      <alignment horizontal="center"/>
      <protection locked="0"/>
    </xf>
    <xf numFmtId="0" fontId="21" fillId="2" borderId="0" xfId="0" applyFont="1" applyFill="1" applyProtection="1">
      <protection hidden="1"/>
    </xf>
    <xf numFmtId="49" fontId="20" fillId="2" borderId="0" xfId="0" applyNumberFormat="1" applyFont="1" applyFill="1" applyAlignment="1" applyProtection="1">
      <alignment horizontal="center"/>
      <protection hidden="1"/>
    </xf>
    <xf numFmtId="0" fontId="22" fillId="2" borderId="0" xfId="0" applyFont="1" applyFill="1" applyProtection="1">
      <protection hidden="1"/>
    </xf>
    <xf numFmtId="49" fontId="24" fillId="2" borderId="0" xfId="0" applyNumberFormat="1" applyFont="1" applyFill="1" applyAlignment="1" applyProtection="1">
      <alignment horizontal="center"/>
      <protection hidden="1"/>
    </xf>
    <xf numFmtId="0" fontId="24" fillId="2" borderId="0" xfId="0" applyFont="1" applyFill="1" applyProtection="1">
      <protection hidden="1"/>
    </xf>
    <xf numFmtId="3" fontId="24" fillId="2" borderId="0" xfId="0" applyNumberFormat="1" applyFont="1" applyFill="1" applyProtection="1">
      <protection hidden="1"/>
    </xf>
    <xf numFmtId="49" fontId="25" fillId="2" borderId="0" xfId="0" applyNumberFormat="1" applyFont="1" applyFill="1" applyAlignment="1" applyProtection="1">
      <alignment horizontal="center"/>
      <protection hidden="1"/>
    </xf>
    <xf numFmtId="0" fontId="25" fillId="2" borderId="0" xfId="0" applyFont="1" applyFill="1" applyProtection="1">
      <protection hidden="1"/>
    </xf>
    <xf numFmtId="0" fontId="0" fillId="2" borderId="0" xfId="0" applyFill="1" applyAlignment="1" applyProtection="1">
      <alignment wrapText="1"/>
      <protection hidden="1"/>
    </xf>
    <xf numFmtId="1" fontId="0" fillId="0" borderId="1" xfId="0" applyNumberFormat="1" applyBorder="1"/>
    <xf numFmtId="3" fontId="25" fillId="2" borderId="0" xfId="0" applyNumberFormat="1" applyFont="1" applyFill="1" applyProtection="1">
      <protection hidden="1"/>
    </xf>
    <xf numFmtId="1" fontId="0" fillId="0" borderId="0" xfId="0" applyNumberFormat="1"/>
    <xf numFmtId="0" fontId="1" fillId="2" borderId="0" xfId="0" applyFont="1" applyFill="1" applyAlignment="1" applyProtection="1">
      <alignment vertical="center"/>
      <protection hidden="1"/>
    </xf>
    <xf numFmtId="3" fontId="10" fillId="2" borderId="1" xfId="0" applyNumberFormat="1" applyFont="1" applyFill="1" applyBorder="1" applyAlignment="1" applyProtection="1">
      <alignment horizontal="center" vertical="center"/>
      <protection hidden="1"/>
    </xf>
    <xf numFmtId="0" fontId="5" fillId="2" borderId="0" xfId="0" applyFont="1" applyFill="1" applyAlignment="1" applyProtection="1">
      <alignment vertical="center"/>
      <protection locked="0"/>
    </xf>
    <xf numFmtId="49" fontId="7" fillId="2" borderId="0" xfId="0" applyNumberFormat="1" applyFont="1" applyFill="1"/>
    <xf numFmtId="49" fontId="3" fillId="2" borderId="0" xfId="0" applyNumberFormat="1" applyFont="1" applyFill="1"/>
    <xf numFmtId="49" fontId="10" fillId="2" borderId="1" xfId="0" applyNumberFormat="1" applyFont="1" applyFill="1" applyBorder="1" applyAlignment="1">
      <alignment horizontal="center"/>
    </xf>
    <xf numFmtId="49" fontId="10" fillId="2" borderId="1" xfId="0" applyNumberFormat="1" applyFont="1" applyFill="1" applyBorder="1" applyProtection="1">
      <protection hidden="1"/>
    </xf>
    <xf numFmtId="49" fontId="11" fillId="2" borderId="1" xfId="0" applyNumberFormat="1" applyFont="1" applyFill="1" applyBorder="1" applyProtection="1">
      <protection hidden="1"/>
    </xf>
    <xf numFmtId="49" fontId="15" fillId="3" borderId="1" xfId="0" applyNumberFormat="1" applyFont="1" applyFill="1" applyBorder="1" applyAlignment="1" applyProtection="1">
      <alignment horizontal="center"/>
      <protection hidden="1"/>
    </xf>
    <xf numFmtId="49" fontId="0" fillId="0" borderId="0" xfId="0" applyNumberFormat="1"/>
    <xf numFmtId="41" fontId="10" fillId="6" borderId="1" xfId="0" applyNumberFormat="1" applyFont="1" applyFill="1" applyBorder="1" applyProtection="1">
      <protection locked="0"/>
    </xf>
    <xf numFmtId="3" fontId="20" fillId="2" borderId="0" xfId="0" applyNumberFormat="1" applyFont="1" applyFill="1" applyProtection="1">
      <protection hidden="1"/>
    </xf>
    <xf numFmtId="3" fontId="10" fillId="2" borderId="1" xfId="0" applyNumberFormat="1" applyFont="1" applyFill="1" applyBorder="1" applyAlignment="1" applyProtection="1">
      <alignment horizontal="right" vertical="center"/>
      <protection locked="0"/>
    </xf>
    <xf numFmtId="0" fontId="28" fillId="2" borderId="0" xfId="0" applyFont="1" applyFill="1" applyProtection="1">
      <protection hidden="1"/>
    </xf>
    <xf numFmtId="0" fontId="29" fillId="2" borderId="0" xfId="0" applyFont="1" applyFill="1" applyProtection="1">
      <protection hidden="1"/>
    </xf>
    <xf numFmtId="0" fontId="31" fillId="2" borderId="0" xfId="0" applyFont="1" applyFill="1" applyProtection="1">
      <protection hidden="1"/>
    </xf>
    <xf numFmtId="0" fontId="28" fillId="0" borderId="0" xfId="0" applyFont="1"/>
    <xf numFmtId="0" fontId="1" fillId="2" borderId="0" xfId="0" applyFont="1" applyFill="1" applyAlignment="1" applyProtection="1">
      <alignment horizontal="center" wrapText="1"/>
      <protection hidden="1"/>
    </xf>
    <xf numFmtId="0" fontId="1" fillId="6" borderId="0" xfId="0" applyFont="1" applyFill="1" applyAlignment="1" applyProtection="1">
      <alignment horizontal="center" vertical="center" wrapText="1"/>
      <protection hidden="1"/>
    </xf>
    <xf numFmtId="0" fontId="10" fillId="6" borderId="2" xfId="0" applyFont="1" applyFill="1" applyBorder="1" applyAlignment="1" applyProtection="1">
      <alignment horizontal="center"/>
      <protection hidden="1"/>
    </xf>
    <xf numFmtId="0" fontId="10" fillId="6" borderId="3" xfId="0" applyFont="1" applyFill="1" applyBorder="1" applyAlignment="1" applyProtection="1">
      <alignment horizontal="center"/>
      <protection hidden="1"/>
    </xf>
    <xf numFmtId="0" fontId="18" fillId="2" borderId="6" xfId="0" applyFont="1" applyFill="1" applyBorder="1" applyAlignment="1" applyProtection="1">
      <alignment horizontal="center"/>
      <protection hidden="1"/>
    </xf>
    <xf numFmtId="0" fontId="16" fillId="2" borderId="6" xfId="0" applyFont="1" applyFill="1" applyBorder="1" applyAlignment="1" applyProtection="1">
      <alignment horizontal="center"/>
      <protection hidden="1"/>
    </xf>
    <xf numFmtId="0" fontId="17" fillId="2" borderId="6" xfId="0" applyFont="1" applyFill="1" applyBorder="1" applyAlignment="1" applyProtection="1">
      <alignment horizontal="center"/>
      <protection hidden="1"/>
    </xf>
    <xf numFmtId="0" fontId="10" fillId="3" borderId="1" xfId="0" applyFont="1" applyFill="1" applyBorder="1" applyAlignment="1" applyProtection="1">
      <alignment horizontal="center"/>
      <protection hidden="1"/>
    </xf>
    <xf numFmtId="0" fontId="6" fillId="2" borderId="2" xfId="0" applyFont="1" applyFill="1" applyBorder="1" applyAlignment="1" applyProtection="1">
      <alignment horizontal="left"/>
      <protection hidden="1"/>
    </xf>
    <xf numFmtId="0" fontId="6" fillId="2" borderId="3" xfId="0" applyFont="1" applyFill="1" applyBorder="1" applyAlignment="1" applyProtection="1">
      <alignment horizontal="left"/>
      <protection hidden="1"/>
    </xf>
    <xf numFmtId="0" fontId="6" fillId="2" borderId="2" xfId="0" applyFont="1" applyFill="1" applyBorder="1" applyAlignment="1" applyProtection="1">
      <alignment horizontal="left" wrapText="1"/>
      <protection hidden="1"/>
    </xf>
    <xf numFmtId="0" fontId="1" fillId="2" borderId="0" xfId="0" applyFont="1" applyFill="1" applyAlignment="1" applyProtection="1">
      <alignment horizontal="center" vertical="center" wrapText="1"/>
      <protection hidden="1"/>
    </xf>
    <xf numFmtId="0" fontId="9" fillId="6" borderId="2" xfId="0" applyFont="1" applyFill="1" applyBorder="1" applyAlignment="1" applyProtection="1">
      <alignment horizontal="center"/>
      <protection locked="0"/>
    </xf>
    <xf numFmtId="0" fontId="9" fillId="6" borderId="3" xfId="0" applyFont="1" applyFill="1" applyBorder="1" applyAlignment="1" applyProtection="1">
      <alignment horizontal="center"/>
      <protection locked="0"/>
    </xf>
    <xf numFmtId="0" fontId="1" fillId="2" borderId="0" xfId="0" applyFont="1" applyFill="1" applyAlignment="1" applyProtection="1">
      <alignment horizontal="center" vertical="center"/>
      <protection hidden="1"/>
    </xf>
    <xf numFmtId="0" fontId="1" fillId="6" borderId="0" xfId="0" applyFont="1" applyFill="1" applyAlignment="1" applyProtection="1">
      <alignment horizontal="center" vertical="center" wrapText="1"/>
      <protection hidden="1"/>
    </xf>
    <xf numFmtId="0" fontId="10" fillId="7" borderId="2" xfId="0" applyFont="1" applyFill="1" applyBorder="1" applyAlignment="1" applyProtection="1">
      <alignment horizontal="center"/>
      <protection hidden="1"/>
    </xf>
    <xf numFmtId="0" fontId="10" fillId="7" borderId="3" xfId="0" applyFont="1" applyFill="1" applyBorder="1" applyAlignment="1" applyProtection="1">
      <alignment horizontal="center"/>
      <protection hidden="1"/>
    </xf>
    <xf numFmtId="0" fontId="0" fillId="8" borderId="0" xfId="0" applyFill="1"/>
    <xf numFmtId="0" fontId="6" fillId="2" borderId="2" xfId="0" applyFont="1" applyFill="1" applyBorder="1" applyAlignment="1">
      <alignment horizontal="left"/>
    </xf>
    <xf numFmtId="0" fontId="6" fillId="2" borderId="3" xfId="0" applyFont="1" applyFill="1" applyBorder="1" applyAlignment="1">
      <alignment horizontal="left"/>
    </xf>
    <xf numFmtId="0" fontId="10" fillId="7" borderId="2" xfId="0" applyFont="1" applyFill="1" applyBorder="1" applyAlignment="1">
      <alignment horizontal="center"/>
    </xf>
    <xf numFmtId="0" fontId="10" fillId="7" borderId="3" xfId="0" applyFont="1" applyFill="1" applyBorder="1" applyAlignment="1">
      <alignment horizontal="center"/>
    </xf>
    <xf numFmtId="0" fontId="10" fillId="3" borderId="1" xfId="0" applyFont="1" applyFill="1" applyBorder="1" applyAlignment="1">
      <alignment horizontal="center"/>
    </xf>
  </cellXfs>
  <cellStyles count="1">
    <cellStyle name="Normal" xfId="0" builtinId="0"/>
  </cellStyles>
  <dxfs count="18">
    <dxf>
      <font>
        <color rgb="FFFF0000"/>
      </font>
    </dxf>
    <dxf>
      <font>
        <color rgb="FFFF0000"/>
      </font>
    </dxf>
    <dxf>
      <fill>
        <patternFill>
          <bgColor rgb="FF24FC29"/>
        </patternFill>
      </fill>
    </dxf>
    <dxf>
      <fill>
        <patternFill>
          <bgColor rgb="FF1BFD46"/>
        </patternFill>
      </fill>
    </dxf>
    <dxf>
      <fill>
        <patternFill>
          <bgColor rgb="FF21FF2C"/>
        </patternFill>
      </fill>
    </dxf>
    <dxf>
      <fill>
        <patternFill>
          <bgColor rgb="FF21FF2C"/>
        </patternFill>
      </fill>
    </dxf>
    <dxf>
      <font>
        <color theme="0"/>
      </font>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bgColor rgb="FFFF0000"/>
        </patternFill>
      </fill>
    </dxf>
    <dxf>
      <fill>
        <patternFill>
          <bgColor rgb="FF00FFFF"/>
        </patternFill>
      </fill>
    </dxf>
    <dxf>
      <font>
        <color rgb="FFFF0000"/>
      </font>
    </dxf>
    <dxf>
      <fill>
        <patternFill>
          <bgColor rgb="FFFF0000"/>
        </patternFill>
      </fill>
    </dxf>
    <dxf>
      <border>
        <left style="thin">
          <color auto="1"/>
        </left>
        <right style="thin">
          <color auto="1"/>
        </right>
        <top style="thin">
          <color auto="1"/>
        </top>
        <bottom style="thin">
          <color auto="1"/>
        </bottom>
        <vertical/>
        <horizontal/>
      </border>
    </dxf>
    <dxf>
      <font>
        <color rgb="FFFF0000"/>
      </font>
    </dxf>
    <dxf>
      <font>
        <color rgb="FFFF0000"/>
      </font>
    </dxf>
    <dxf>
      <border>
        <left style="thin">
          <color auto="1"/>
        </left>
        <right style="thin">
          <color auto="1"/>
        </right>
        <top style="thin">
          <color auto="1"/>
        </top>
        <bottom style="thin">
          <color auto="1"/>
        </bottom>
        <vertical/>
        <horizontal/>
      </border>
    </dxf>
  </dxfs>
  <tableStyles count="0" defaultTableStyle="TableStyleMedium2" defaultPivotStyle="PivotStyleLight16"/>
  <colors>
    <mruColors>
      <color rgb="FF21FF2C"/>
      <color rgb="FF1BFD46"/>
      <color rgb="FF24FC29"/>
      <color rgb="FF00FF00"/>
      <color rgb="FF00FFFF"/>
      <color rgb="FF01AF1E"/>
      <color rgb="FF66FF99"/>
      <color rgb="FF0066FF"/>
      <color rgb="FF66FFFF"/>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312420</xdr:colOff>
          <xdr:row>4</xdr:row>
          <xdr:rowOff>190500</xdr:rowOff>
        </xdr:from>
        <xdr:to>
          <xdr:col>4</xdr:col>
          <xdr:colOff>2011680</xdr:colOff>
          <xdr:row>4</xdr:row>
          <xdr:rowOff>746760</xdr:rowOff>
        </xdr:to>
        <xdr:sp macro="" textlink="">
          <xdr:nvSpPr>
            <xdr:cNvPr id="1032" name="CommandButton1" descr="RELOAD"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327660</xdr:colOff>
          <xdr:row>5</xdr:row>
          <xdr:rowOff>152400</xdr:rowOff>
        </xdr:from>
        <xdr:to>
          <xdr:col>4</xdr:col>
          <xdr:colOff>2026920</xdr:colOff>
          <xdr:row>6</xdr:row>
          <xdr:rowOff>106680</xdr:rowOff>
        </xdr:to>
        <xdr:sp macro="" textlink="">
          <xdr:nvSpPr>
            <xdr:cNvPr id="1033" name="CommandButton2" descr="RELOAD"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312420</xdr:colOff>
          <xdr:row>8</xdr:row>
          <xdr:rowOff>7620</xdr:rowOff>
        </xdr:from>
        <xdr:to>
          <xdr:col>4</xdr:col>
          <xdr:colOff>2034540</xdr:colOff>
          <xdr:row>10</xdr:row>
          <xdr:rowOff>160020</xdr:rowOff>
        </xdr:to>
        <xdr:sp macro="" textlink="">
          <xdr:nvSpPr>
            <xdr:cNvPr id="1037" name="CommandButton6" descr="RELOAD"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3</xdr:row>
          <xdr:rowOff>83820</xdr:rowOff>
        </xdr:from>
        <xdr:to>
          <xdr:col>4</xdr:col>
          <xdr:colOff>2019300</xdr:colOff>
          <xdr:row>4</xdr:row>
          <xdr:rowOff>53340</xdr:rowOff>
        </xdr:to>
        <xdr:sp macro="" textlink="">
          <xdr:nvSpPr>
            <xdr:cNvPr id="1038" name="CommandButton3" descr="RELOAD"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1201266</xdr:colOff>
      <xdr:row>4</xdr:row>
      <xdr:rowOff>67234</xdr:rowOff>
    </xdr:from>
    <xdr:to>
      <xdr:col>4</xdr:col>
      <xdr:colOff>481537</xdr:colOff>
      <xdr:row>4</xdr:row>
      <xdr:rowOff>750787</xdr:rowOff>
    </xdr:to>
    <xdr:grpSp>
      <xdr:nvGrpSpPr>
        <xdr:cNvPr id="5" name="Group 4">
          <a:extLst>
            <a:ext uri="{FF2B5EF4-FFF2-40B4-BE49-F238E27FC236}">
              <a16:creationId xmlns:a16="http://schemas.microsoft.com/office/drawing/2014/main" id="{00000000-0008-0000-0000-000005000000}"/>
            </a:ext>
          </a:extLst>
        </xdr:cNvPr>
        <xdr:cNvGrpSpPr/>
      </xdr:nvGrpSpPr>
      <xdr:grpSpPr>
        <a:xfrm rot="10800000">
          <a:off x="3299007" y="2792505"/>
          <a:ext cx="2991659" cy="683553"/>
          <a:chOff x="3676652" y="1009650"/>
          <a:chExt cx="3448050" cy="952500"/>
        </a:xfrm>
      </xdr:grpSpPr>
      <xdr:sp macro="" textlink="">
        <xdr:nvSpPr>
          <xdr:cNvPr id="3" name="Right Arrow 2">
            <a:extLst>
              <a:ext uri="{FF2B5EF4-FFF2-40B4-BE49-F238E27FC236}">
                <a16:creationId xmlns:a16="http://schemas.microsoft.com/office/drawing/2014/main" id="{00000000-0008-0000-0000-000003000000}"/>
              </a:ext>
            </a:extLst>
          </xdr:cNvPr>
          <xdr:cNvSpPr/>
        </xdr:nvSpPr>
        <xdr:spPr>
          <a:xfrm rot="10800000">
            <a:off x="4362450" y="1009650"/>
            <a:ext cx="2038350" cy="952500"/>
          </a:xfrm>
          <a:prstGeom prst="rightArrow">
            <a:avLst/>
          </a:prstGeom>
          <a:solidFill>
            <a:srgbClr val="00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scene3d>
              <a:camera prst="orthographicFront">
                <a:rot lat="0" lon="0" rev="10799999"/>
              </a:camera>
              <a:lightRig rig="threePt" dir="t"/>
            </a:scene3d>
          </a:bodyPr>
          <a:lstStyle/>
          <a:p>
            <a:pPr algn="l"/>
            <a:endParaRPr lang="en-US" sz="1100"/>
          </a:p>
        </xdr:txBody>
      </xdr:sp>
      <xdr:sp macro="" textlink="">
        <xdr:nvSpPr>
          <xdr:cNvPr id="4" name="Rectangle 3">
            <a:extLst>
              <a:ext uri="{FF2B5EF4-FFF2-40B4-BE49-F238E27FC236}">
                <a16:creationId xmlns:a16="http://schemas.microsoft.com/office/drawing/2014/main" id="{00000000-0008-0000-0000-000004000000}"/>
              </a:ext>
            </a:extLst>
          </xdr:cNvPr>
          <xdr:cNvSpPr/>
        </xdr:nvSpPr>
        <xdr:spPr>
          <a:xfrm>
            <a:off x="3676652" y="1344410"/>
            <a:ext cx="3448050" cy="278687"/>
          </a:xfrm>
          <a:prstGeom prst="rect">
            <a:avLst/>
          </a:prstGeom>
          <a:noFill/>
        </xdr:spPr>
        <xdr:txBody>
          <a:bodyPr wrap="square" lIns="91440" tIns="45720" rIns="91440" bIns="45720">
            <a:spAutoFit/>
          </a:bodyPr>
          <a:lstStyle/>
          <a:p>
            <a:pPr algn="ctr"/>
            <a:endParaRPr lang="en-US" sz="1600" b="0" cap="none" spc="0">
              <a:ln w="0"/>
              <a:solidFill>
                <a:srgbClr val="FF0000"/>
              </a:solidFill>
              <a:effectLst>
                <a:outerShdw blurRad="38100" dist="19050" dir="2700000" algn="tl" rotWithShape="0">
                  <a:schemeClr val="dk1">
                    <a:alpha val="40000"/>
                  </a:schemeClr>
                </a:outerShdw>
              </a:effectLst>
            </a:endParaRPr>
          </a:p>
        </xdr:txBody>
      </xdr:sp>
    </xdr:grpSp>
    <xdr:clientData/>
  </xdr:twoCellAnchor>
  <mc:AlternateContent xmlns:mc="http://schemas.openxmlformats.org/markup-compatibility/2006">
    <mc:Choice xmlns:a14="http://schemas.microsoft.com/office/drawing/2010/main" Requires="a14">
      <xdr:twoCellAnchor editAs="oneCell">
        <xdr:from>
          <xdr:col>0</xdr:col>
          <xdr:colOff>121920</xdr:colOff>
          <xdr:row>21</xdr:row>
          <xdr:rowOff>68580</xdr:rowOff>
        </xdr:from>
        <xdr:to>
          <xdr:col>0</xdr:col>
          <xdr:colOff>906780</xdr:colOff>
          <xdr:row>23</xdr:row>
          <xdr:rowOff>45720</xdr:rowOff>
        </xdr:to>
        <xdr:sp macro="" textlink="">
          <xdr:nvSpPr>
            <xdr:cNvPr id="1044" name="suadulieu" descr="RELOAD"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4</xdr:col>
      <xdr:colOff>528918</xdr:colOff>
      <xdr:row>0</xdr:row>
      <xdr:rowOff>62752</xdr:rowOff>
    </xdr:from>
    <xdr:ext cx="3269114" cy="280205"/>
    <xdr:sp macro="" textlink="">
      <xdr:nvSpPr>
        <xdr:cNvPr id="2" name="Rectangle 1">
          <a:extLst>
            <a:ext uri="{FF2B5EF4-FFF2-40B4-BE49-F238E27FC236}">
              <a16:creationId xmlns:a16="http://schemas.microsoft.com/office/drawing/2014/main" id="{00000000-0008-0000-0000-000002000000}"/>
            </a:ext>
          </a:extLst>
        </xdr:cNvPr>
        <xdr:cNvSpPr/>
      </xdr:nvSpPr>
      <xdr:spPr>
        <a:xfrm>
          <a:off x="6338047" y="62752"/>
          <a:ext cx="3269114" cy="280205"/>
        </a:xfrm>
        <a:prstGeom prst="rect">
          <a:avLst/>
        </a:prstGeom>
        <a:noFill/>
      </xdr:spPr>
      <xdr:txBody>
        <a:bodyPr wrap="square" lIns="91440" tIns="45720" rIns="91440" bIns="45720">
          <a:spAutoFit/>
        </a:bodyPr>
        <a:lstStyle/>
        <a:p>
          <a:pPr algn="ctr"/>
          <a:r>
            <a:rPr lang="en-US" sz="1200" b="0" cap="none" spc="0">
              <a:ln w="0"/>
              <a:solidFill>
                <a:srgbClr val="FF0000"/>
              </a:solidFill>
              <a:effectLst>
                <a:outerShdw blurRad="38100" dist="25400" dir="5400000" algn="ctr" rotWithShape="0">
                  <a:srgbClr val="6E747A">
                    <a:alpha val="43000"/>
                  </a:srgbClr>
                </a:outerShdw>
              </a:effectLst>
            </a:rPr>
            <a:t>MADE BY HUỲNH</a:t>
          </a:r>
          <a:r>
            <a:rPr lang="en-US" sz="1200" b="0" cap="none" spc="0" baseline="0">
              <a:ln w="0"/>
              <a:solidFill>
                <a:srgbClr val="FF0000"/>
              </a:solidFill>
              <a:effectLst>
                <a:outerShdw blurRad="38100" dist="25400" dir="5400000" algn="ctr" rotWithShape="0">
                  <a:srgbClr val="6E747A">
                    <a:alpha val="43000"/>
                  </a:srgbClr>
                </a:outerShdw>
              </a:effectLst>
            </a:rPr>
            <a:t> HOÀNG TUẤN - 05129 ®</a:t>
          </a:r>
          <a:endParaRPr lang="en-US" sz="1200" b="0" cap="none" spc="0">
            <a:ln w="0"/>
            <a:solidFill>
              <a:srgbClr val="FF0000"/>
            </a:solidFill>
            <a:effectLst>
              <a:outerShdw blurRad="38100" dist="25400" dir="5400000" algn="ctr" rotWithShape="0">
                <a:srgbClr val="6E747A">
                  <a:alpha val="43000"/>
                </a:srgbClr>
              </a:outerShdw>
            </a:effectLst>
          </a:endParaRPr>
        </a:p>
      </xdr:txBody>
    </xdr:sp>
    <xdr:clientData/>
  </xdr:oneCellAnchor>
  <xdr:oneCellAnchor>
    <xdr:from>
      <xdr:col>4</xdr:col>
      <xdr:colOff>567578</xdr:colOff>
      <xdr:row>0</xdr:row>
      <xdr:rowOff>302967</xdr:rowOff>
    </xdr:from>
    <xdr:ext cx="3269114" cy="230490"/>
    <xdr:sp macro="" textlink="">
      <xdr:nvSpPr>
        <xdr:cNvPr id="6" name="Rectangle 5">
          <a:extLst>
            <a:ext uri="{FF2B5EF4-FFF2-40B4-BE49-F238E27FC236}">
              <a16:creationId xmlns:a16="http://schemas.microsoft.com/office/drawing/2014/main" id="{00000000-0008-0000-0000-000006000000}"/>
            </a:ext>
          </a:extLst>
        </xdr:cNvPr>
        <xdr:cNvSpPr/>
      </xdr:nvSpPr>
      <xdr:spPr>
        <a:xfrm>
          <a:off x="6376707" y="302967"/>
          <a:ext cx="3269114" cy="230490"/>
        </a:xfrm>
        <a:prstGeom prst="rect">
          <a:avLst/>
        </a:prstGeom>
        <a:noFill/>
      </xdr:spPr>
      <xdr:txBody>
        <a:bodyPr wrap="square" lIns="91440" tIns="45720" rIns="91440" bIns="45720">
          <a:noAutofit/>
        </a:bodyPr>
        <a:lstStyle/>
        <a:p>
          <a:pPr algn="ctr"/>
          <a:r>
            <a:rPr lang="en-US" sz="1200" b="0" cap="none" spc="0">
              <a:ln w="0"/>
              <a:solidFill>
                <a:srgbClr val="FF0000"/>
              </a:solidFill>
              <a:effectLst>
                <a:outerShdw blurRad="38100" dist="25400" dir="5400000" algn="ctr" rotWithShape="0">
                  <a:srgbClr val="6E747A">
                    <a:alpha val="43000"/>
                  </a:srgbClr>
                </a:outerShdw>
              </a:effectLst>
              <a:sym typeface="Wingdings" panose="05000000000000000000" pitchFamily="2" charset="2"/>
            </a:rPr>
            <a:t></a:t>
          </a:r>
          <a:r>
            <a:rPr lang="en-US" sz="1200" b="0" cap="none" spc="0">
              <a:ln w="0"/>
              <a:solidFill>
                <a:srgbClr val="FF0000"/>
              </a:solidFill>
              <a:effectLst>
                <a:outerShdw blurRad="38100" dist="25400" dir="5400000" algn="ctr" rotWithShape="0">
                  <a:srgbClr val="6E747A">
                    <a:alpha val="43000"/>
                  </a:srgbClr>
                </a:outerShdw>
              </a:effectLst>
            </a:rPr>
            <a:t> 0369647957</a:t>
          </a:r>
        </a:p>
      </xdr:txBody>
    </xdr:sp>
    <xdr:clientData/>
  </xdr:oneCellAnchor>
  <xdr:twoCellAnchor editAs="oneCell">
    <xdr:from>
      <xdr:col>8</xdr:col>
      <xdr:colOff>485685</xdr:colOff>
      <xdr:row>0</xdr:row>
      <xdr:rowOff>131516</xdr:rowOff>
    </xdr:from>
    <xdr:to>
      <xdr:col>10</xdr:col>
      <xdr:colOff>1179217</xdr:colOff>
      <xdr:row>2</xdr:row>
      <xdr:rowOff>155898</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8082" r="79829" b="73063"/>
        <a:stretch/>
      </xdr:blipFill>
      <xdr:spPr>
        <a:xfrm>
          <a:off x="11575026" y="131516"/>
          <a:ext cx="3651885" cy="1880076"/>
        </a:xfrm>
        <a:prstGeom prst="rect">
          <a:avLst/>
        </a:prstGeom>
      </xdr:spPr>
    </xdr:pic>
    <xdr:clientData/>
  </xdr:twoCellAnchor>
  <xdr:oneCellAnchor>
    <xdr:from>
      <xdr:col>2</xdr:col>
      <xdr:colOff>1801906</xdr:colOff>
      <xdr:row>4</xdr:row>
      <xdr:rowOff>242046</xdr:rowOff>
    </xdr:from>
    <xdr:ext cx="1712260" cy="327141"/>
    <xdr:sp macro="" textlink="">
      <xdr:nvSpPr>
        <xdr:cNvPr id="8" name="Rectangle 7">
          <a:extLst>
            <a:ext uri="{FF2B5EF4-FFF2-40B4-BE49-F238E27FC236}">
              <a16:creationId xmlns:a16="http://schemas.microsoft.com/office/drawing/2014/main" id="{00000000-0008-0000-0000-000008000000}"/>
            </a:ext>
          </a:extLst>
        </xdr:cNvPr>
        <xdr:cNvSpPr/>
      </xdr:nvSpPr>
      <xdr:spPr>
        <a:xfrm>
          <a:off x="3899647" y="2653552"/>
          <a:ext cx="1712260" cy="327141"/>
        </a:xfrm>
        <a:prstGeom prst="rect">
          <a:avLst/>
        </a:prstGeom>
        <a:noFill/>
      </xdr:spPr>
      <xdr:txBody>
        <a:bodyPr wrap="square" lIns="91440" tIns="45720" rIns="91440" bIns="45720">
          <a:spAutoFit/>
        </a:bodyPr>
        <a:lstStyle/>
        <a:p>
          <a:pPr algn="ctr"/>
          <a:r>
            <a:rPr lang="en-US" sz="1500" b="1" cap="none" spc="0" baseline="0">
              <a:ln w="0"/>
              <a:solidFill>
                <a:srgbClr val="FF0000"/>
              </a:solidFill>
              <a:effectLst>
                <a:outerShdw blurRad="38100" dist="25400" dir="5400000" algn="ctr" rotWithShape="0">
                  <a:srgbClr val="6E747A">
                    <a:alpha val="43000"/>
                  </a:srgbClr>
                </a:outerShdw>
              </a:effectLst>
            </a:rPr>
            <a:t>Trình  tự thực hiện</a:t>
          </a:r>
        </a:p>
      </xdr:txBody>
    </xdr:sp>
    <xdr:clientData/>
  </xdr:oneCellAnchor>
  <xdr:oneCellAnchor>
    <xdr:from>
      <xdr:col>3</xdr:col>
      <xdr:colOff>1717852</xdr:colOff>
      <xdr:row>4</xdr:row>
      <xdr:rowOff>179295</xdr:rowOff>
    </xdr:from>
    <xdr:ext cx="272313" cy="561949"/>
    <xdr:sp macro="" textlink="">
      <xdr:nvSpPr>
        <xdr:cNvPr id="9" name="Rectangle 8">
          <a:extLst>
            <a:ext uri="{FF2B5EF4-FFF2-40B4-BE49-F238E27FC236}">
              <a16:creationId xmlns:a16="http://schemas.microsoft.com/office/drawing/2014/main" id="{00000000-0008-0000-0000-000009000000}"/>
            </a:ext>
          </a:extLst>
        </xdr:cNvPr>
        <xdr:cNvSpPr/>
      </xdr:nvSpPr>
      <xdr:spPr>
        <a:xfrm>
          <a:off x="5778864" y="2590801"/>
          <a:ext cx="272313" cy="561949"/>
        </a:xfrm>
        <a:prstGeom prst="rect">
          <a:avLst/>
        </a:prstGeom>
        <a:noFill/>
      </xdr:spPr>
      <xdr:txBody>
        <a:bodyPr wrap="square" lIns="91440" tIns="45720" rIns="91440" bIns="45720">
          <a:spAutoFit/>
        </a:bodyPr>
        <a:lstStyle/>
        <a:p>
          <a:pPr algn="ctr"/>
          <a:r>
            <a:rPr lang="en-US" sz="3000" b="1" cap="none" spc="0">
              <a:ln w="22225">
                <a:solidFill>
                  <a:schemeClr val="accent2"/>
                </a:solidFill>
                <a:prstDash val="solid"/>
              </a:ln>
              <a:solidFill>
                <a:schemeClr val="accent2">
                  <a:lumMod val="40000"/>
                  <a:lumOff val="60000"/>
                </a:schemeClr>
              </a:solidFill>
              <a:effectLst/>
            </a:rPr>
            <a:t>1</a:t>
          </a:r>
        </a:p>
      </xdr:txBody>
    </xdr:sp>
    <xdr:clientData/>
  </xdr:oneCellAnchor>
  <xdr:oneCellAnchor>
    <xdr:from>
      <xdr:col>3</xdr:col>
      <xdr:colOff>1735782</xdr:colOff>
      <xdr:row>5</xdr:row>
      <xdr:rowOff>115646</xdr:rowOff>
    </xdr:from>
    <xdr:ext cx="272313" cy="561949"/>
    <xdr:sp macro="" textlink="">
      <xdr:nvSpPr>
        <xdr:cNvPr id="10" name="Rectangle 9">
          <a:extLst>
            <a:ext uri="{FF2B5EF4-FFF2-40B4-BE49-F238E27FC236}">
              <a16:creationId xmlns:a16="http://schemas.microsoft.com/office/drawing/2014/main" id="{00000000-0008-0000-0000-00000A000000}"/>
            </a:ext>
          </a:extLst>
        </xdr:cNvPr>
        <xdr:cNvSpPr/>
      </xdr:nvSpPr>
      <xdr:spPr>
        <a:xfrm>
          <a:off x="5796794" y="3316046"/>
          <a:ext cx="272313" cy="561949"/>
        </a:xfrm>
        <a:prstGeom prst="rect">
          <a:avLst/>
        </a:prstGeom>
        <a:noFill/>
      </xdr:spPr>
      <xdr:txBody>
        <a:bodyPr wrap="square" lIns="91440" tIns="45720" rIns="91440" bIns="45720">
          <a:spAutoFit/>
        </a:bodyPr>
        <a:lstStyle/>
        <a:p>
          <a:pPr algn="ctr"/>
          <a:r>
            <a:rPr lang="en-US" sz="3000" b="1" cap="none" spc="0">
              <a:ln w="22225">
                <a:solidFill>
                  <a:schemeClr val="accent2"/>
                </a:solidFill>
                <a:prstDash val="solid"/>
              </a:ln>
              <a:solidFill>
                <a:schemeClr val="accent2">
                  <a:lumMod val="40000"/>
                  <a:lumOff val="60000"/>
                </a:schemeClr>
              </a:solidFill>
              <a:effectLst/>
            </a:rPr>
            <a:t>2</a:t>
          </a:r>
        </a:p>
      </xdr:txBody>
    </xdr:sp>
    <xdr:clientData/>
  </xdr:oneCellAnchor>
  <xdr:oneCellAnchor>
    <xdr:from>
      <xdr:col>4</xdr:col>
      <xdr:colOff>5593</xdr:colOff>
      <xdr:row>7</xdr:row>
      <xdr:rowOff>152402</xdr:rowOff>
    </xdr:from>
    <xdr:ext cx="272313" cy="561949"/>
    <xdr:sp macro="" textlink="">
      <xdr:nvSpPr>
        <xdr:cNvPr id="11" name="Rectangle 10">
          <a:extLst>
            <a:ext uri="{FF2B5EF4-FFF2-40B4-BE49-F238E27FC236}">
              <a16:creationId xmlns:a16="http://schemas.microsoft.com/office/drawing/2014/main" id="{00000000-0008-0000-0000-00000B000000}"/>
            </a:ext>
          </a:extLst>
        </xdr:cNvPr>
        <xdr:cNvSpPr/>
      </xdr:nvSpPr>
      <xdr:spPr>
        <a:xfrm>
          <a:off x="5814722" y="3980331"/>
          <a:ext cx="272313" cy="561949"/>
        </a:xfrm>
        <a:prstGeom prst="rect">
          <a:avLst/>
        </a:prstGeom>
        <a:noFill/>
      </xdr:spPr>
      <xdr:txBody>
        <a:bodyPr wrap="square" lIns="91440" tIns="45720" rIns="91440" bIns="45720">
          <a:spAutoFit/>
        </a:bodyPr>
        <a:lstStyle/>
        <a:p>
          <a:pPr algn="ctr"/>
          <a:r>
            <a:rPr lang="en-US" sz="3000" b="1" cap="none" spc="0">
              <a:ln w="22225">
                <a:solidFill>
                  <a:schemeClr val="accent2"/>
                </a:solidFill>
                <a:prstDash val="solid"/>
              </a:ln>
              <a:solidFill>
                <a:schemeClr val="accent2">
                  <a:lumMod val="40000"/>
                  <a:lumOff val="60000"/>
                </a:schemeClr>
              </a:solidFill>
              <a:effectLst/>
            </a:rPr>
            <a:t>3</a:t>
          </a:r>
        </a:p>
      </xdr:txBody>
    </xdr:sp>
    <xdr:clientData/>
  </xdr:oneCellAnchor>
  <xdr:twoCellAnchor>
    <xdr:from>
      <xdr:col>6</xdr:col>
      <xdr:colOff>38973</xdr:colOff>
      <xdr:row>1</xdr:row>
      <xdr:rowOff>35861</xdr:rowOff>
    </xdr:from>
    <xdr:to>
      <xdr:col>9</xdr:col>
      <xdr:colOff>26893</xdr:colOff>
      <xdr:row>3</xdr:row>
      <xdr:rowOff>179292</xdr:rowOff>
    </xdr:to>
    <xdr:sp macro="" textlink="">
      <xdr:nvSpPr>
        <xdr:cNvPr id="17" name="Right Arrow 2">
          <a:extLst>
            <a:ext uri="{FF2B5EF4-FFF2-40B4-BE49-F238E27FC236}">
              <a16:creationId xmlns:a16="http://schemas.microsoft.com/office/drawing/2014/main" id="{00000000-0008-0000-0000-000011000000}"/>
            </a:ext>
          </a:extLst>
        </xdr:cNvPr>
        <xdr:cNvSpPr/>
      </xdr:nvSpPr>
      <xdr:spPr>
        <a:xfrm rot="10800000">
          <a:off x="9837397" y="1640543"/>
          <a:ext cx="2766978" cy="708208"/>
        </a:xfrm>
        <a:prstGeom prst="rightArrow">
          <a:avLst/>
        </a:prstGeom>
        <a:solidFill>
          <a:schemeClr val="accent2">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scene3d>
            <a:camera prst="orthographicFront">
              <a:rot lat="0" lon="0" rev="10799999"/>
            </a:camera>
            <a:lightRig rig="threePt" dir="t"/>
          </a:scene3d>
        </a:bodyPr>
        <a:lstStyle/>
        <a:p>
          <a:pPr algn="l"/>
          <a:endParaRPr lang="en-US" sz="1100">
            <a:ln>
              <a:noFill/>
            </a:ln>
          </a:endParaRPr>
        </a:p>
      </xdr:txBody>
    </xdr:sp>
    <xdr:clientData/>
  </xdr:twoCellAnchor>
  <xdr:oneCellAnchor>
    <xdr:from>
      <xdr:col>6</xdr:col>
      <xdr:colOff>161362</xdr:colOff>
      <xdr:row>1</xdr:row>
      <xdr:rowOff>233082</xdr:rowOff>
    </xdr:from>
    <xdr:ext cx="2545979" cy="327141"/>
    <xdr:sp macro="" textlink="">
      <xdr:nvSpPr>
        <xdr:cNvPr id="19" name="Rectangle 18">
          <a:extLst>
            <a:ext uri="{FF2B5EF4-FFF2-40B4-BE49-F238E27FC236}">
              <a16:creationId xmlns:a16="http://schemas.microsoft.com/office/drawing/2014/main" id="{00000000-0008-0000-0000-000013000000}"/>
            </a:ext>
          </a:extLst>
        </xdr:cNvPr>
        <xdr:cNvSpPr/>
      </xdr:nvSpPr>
      <xdr:spPr>
        <a:xfrm>
          <a:off x="9959786" y="1837764"/>
          <a:ext cx="2545979" cy="327141"/>
        </a:xfrm>
        <a:prstGeom prst="rect">
          <a:avLst/>
        </a:prstGeom>
        <a:noFill/>
      </xdr:spPr>
      <xdr:txBody>
        <a:bodyPr wrap="square" lIns="91440" tIns="45720" rIns="91440" bIns="45720">
          <a:spAutoFit/>
        </a:bodyPr>
        <a:lstStyle/>
        <a:p>
          <a:pPr algn="ctr"/>
          <a:r>
            <a:rPr lang="en-US" sz="1500" b="1" cap="none" spc="0" baseline="0">
              <a:ln w="0"/>
              <a:solidFill>
                <a:srgbClr val="FF0000"/>
              </a:solidFill>
              <a:effectLst>
                <a:outerShdw blurRad="38100" dist="25400" dir="5400000" algn="ctr" rotWithShape="0">
                  <a:srgbClr val="6E747A">
                    <a:alpha val="43000"/>
                  </a:srgbClr>
                </a:outerShdw>
              </a:effectLst>
            </a:rPr>
            <a:t>Đúp chuột để chọn nhân viên </a:t>
          </a:r>
        </a:p>
      </xdr:txBody>
    </xdr:sp>
    <xdr:clientData/>
  </xdr:oneCellAnchor>
  <mc:AlternateContent xmlns:mc="http://schemas.openxmlformats.org/markup-compatibility/2006">
    <mc:Choice xmlns:a14="http://schemas.microsoft.com/office/drawing/2010/main" Requires="a14">
      <xdr:twoCellAnchor editAs="oneCell">
        <xdr:from>
          <xdr:col>4</xdr:col>
          <xdr:colOff>304800</xdr:colOff>
          <xdr:row>12</xdr:row>
          <xdr:rowOff>22860</xdr:rowOff>
        </xdr:from>
        <xdr:to>
          <xdr:col>4</xdr:col>
          <xdr:colOff>1965960</xdr:colOff>
          <xdr:row>14</xdr:row>
          <xdr:rowOff>152400</xdr:rowOff>
        </xdr:to>
        <xdr:sp macro="" textlink="">
          <xdr:nvSpPr>
            <xdr:cNvPr id="1047" name="kiemtienoffline"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6"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S577"/>
  <sheetViews>
    <sheetView tabSelected="1" topLeftCell="A5" zoomScale="85" zoomScaleNormal="85" workbookViewId="0">
      <selection activeCell="B8" sqref="B8"/>
    </sheetView>
  </sheetViews>
  <sheetFormatPr defaultColWidth="9.109375" defaultRowHeight="14.4" x14ac:dyDescent="0.3"/>
  <cols>
    <col min="1" max="1" width="16.109375" style="24" customWidth="1"/>
    <col min="2" max="2" width="14.44140625" style="27" customWidth="1"/>
    <col min="3" max="3" width="28.6640625" style="24" customWidth="1"/>
    <col min="4" max="4" width="25.44140625" style="24" customWidth="1"/>
    <col min="5" max="5" width="32" style="24" customWidth="1"/>
    <col min="6" max="6" width="26.109375" style="24" customWidth="1"/>
    <col min="7" max="7" width="9.88671875" style="24" bestFit="1" customWidth="1"/>
    <col min="8" max="8" width="16.109375" style="24" customWidth="1"/>
    <col min="9" max="9" width="14.44140625" style="24" customWidth="1"/>
    <col min="10" max="10" width="28.6640625" style="24" customWidth="1"/>
    <col min="11" max="11" width="25.44140625" style="24" customWidth="1"/>
    <col min="12" max="13" width="9.109375" style="24" hidden="1" customWidth="1"/>
    <col min="14" max="14" width="9.109375" style="24"/>
    <col min="15" max="15" width="16.109375" style="24" customWidth="1"/>
    <col min="16" max="16" width="14.44140625" style="24" customWidth="1"/>
    <col min="17" max="17" width="28.6640625" style="24" customWidth="1"/>
    <col min="18" max="18" width="24.6640625" style="24" customWidth="1"/>
    <col min="19" max="19" width="44.33203125" style="24" hidden="1" customWidth="1"/>
    <col min="20" max="16384" width="9.109375" style="24"/>
  </cols>
  <sheetData>
    <row r="1" spans="1:19" s="21" customFormat="1" ht="126.75" customHeight="1" x14ac:dyDescent="1.1000000000000001">
      <c r="A1" s="28" t="s">
        <v>0</v>
      </c>
      <c r="B1" s="19"/>
      <c r="C1" s="18"/>
      <c r="D1" s="18"/>
      <c r="E1" s="18"/>
      <c r="F1" s="20"/>
      <c r="G1" s="20"/>
    </row>
    <row r="2" spans="1:19" ht="19.8" x14ac:dyDescent="0.4">
      <c r="A2" s="74" t="s">
        <v>1</v>
      </c>
      <c r="B2" s="75"/>
      <c r="C2" s="8">
        <f>SUMIF(BCQ!AA:AA,E3,BCQ!F:F)</f>
        <v>100000</v>
      </c>
      <c r="D2" s="22"/>
      <c r="E2" s="23" t="s">
        <v>14</v>
      </c>
      <c r="F2" s="33">
        <f>INDEX(BCQ!Z:Z,MATCH(E3,BCQ!AA:AA,0))</f>
        <v>2</v>
      </c>
      <c r="L2" s="24" t="s">
        <v>17</v>
      </c>
      <c r="M2" s="24" t="s">
        <v>18</v>
      </c>
    </row>
    <row r="3" spans="1:19" ht="24.6" x14ac:dyDescent="0.4">
      <c r="A3" s="74" t="s">
        <v>2</v>
      </c>
      <c r="B3" s="75"/>
      <c r="C3" s="16">
        <v>500000</v>
      </c>
      <c r="D3" s="22"/>
      <c r="E3" s="78" t="s">
        <v>39</v>
      </c>
      <c r="F3" s="79"/>
      <c r="L3" s="64" t="s">
        <v>34</v>
      </c>
    </row>
    <row r="4" spans="1:19" ht="44.25" customHeight="1" x14ac:dyDescent="0.35">
      <c r="A4" s="76" t="s">
        <v>32</v>
      </c>
      <c r="B4" s="75"/>
      <c r="C4" s="61"/>
      <c r="D4" s="22"/>
      <c r="E4" s="17"/>
      <c r="F4" s="66" t="s">
        <v>30</v>
      </c>
      <c r="S4" s="24" t="s">
        <v>23</v>
      </c>
    </row>
    <row r="5" spans="1:19" ht="61.95" customHeight="1" x14ac:dyDescent="0.95">
      <c r="A5" s="25" t="s">
        <v>4</v>
      </c>
      <c r="B5" s="26"/>
      <c r="C5" s="22"/>
      <c r="D5"/>
      <c r="E5" s="17"/>
      <c r="F5" s="67" t="s">
        <v>37</v>
      </c>
      <c r="H5" s="71" t="s">
        <v>16</v>
      </c>
      <c r="I5" s="72"/>
      <c r="J5" s="72"/>
      <c r="K5" s="72"/>
      <c r="O5" s="70" t="s">
        <v>19</v>
      </c>
      <c r="P5" s="70"/>
      <c r="Q5" s="70"/>
      <c r="S5" s="45" t="s">
        <v>24</v>
      </c>
    </row>
    <row r="6" spans="1:19" s="49" customFormat="1" ht="42" customHeight="1" x14ac:dyDescent="0.3">
      <c r="A6" s="50" t="s">
        <v>5</v>
      </c>
      <c r="B6" s="50" t="s">
        <v>6</v>
      </c>
      <c r="C6" s="50" t="s">
        <v>7</v>
      </c>
      <c r="D6" s="50" t="s">
        <v>8</v>
      </c>
      <c r="E6" s="51"/>
      <c r="F6" s="77" t="s">
        <v>27</v>
      </c>
      <c r="H6" s="50" t="s">
        <v>5</v>
      </c>
      <c r="I6" s="50" t="s">
        <v>6</v>
      </c>
      <c r="J6" s="50" t="s">
        <v>7</v>
      </c>
      <c r="K6" s="50" t="s">
        <v>8</v>
      </c>
      <c r="O6" s="50" t="s">
        <v>5</v>
      </c>
      <c r="P6" s="50" t="s">
        <v>6</v>
      </c>
      <c r="Q6" s="50" t="s">
        <v>7</v>
      </c>
      <c r="R6" s="50" t="s">
        <v>8</v>
      </c>
      <c r="S6" s="49" t="s">
        <v>29</v>
      </c>
    </row>
    <row r="7" spans="1:19" ht="16.8" x14ac:dyDescent="0.3">
      <c r="A7" s="8">
        <v>500000</v>
      </c>
      <c r="B7" s="15"/>
      <c r="C7" s="9">
        <f>B7*A7</f>
        <v>0</v>
      </c>
      <c r="D7" s="8"/>
      <c r="E7" s="17"/>
      <c r="F7" s="77"/>
      <c r="H7" s="8">
        <v>500000</v>
      </c>
      <c r="I7" s="9">
        <f>SUM('1:sheet2'!B7)</f>
        <v>0</v>
      </c>
      <c r="J7" s="9">
        <f>H7*I7</f>
        <v>0</v>
      </c>
      <c r="K7" s="8"/>
      <c r="O7" s="8">
        <v>500000</v>
      </c>
      <c r="P7" s="15"/>
      <c r="Q7" s="9">
        <f>P7*O7</f>
        <v>0</v>
      </c>
      <c r="R7" s="8"/>
      <c r="S7" s="24" t="s">
        <v>25</v>
      </c>
    </row>
    <row r="8" spans="1:19" ht="16.8" x14ac:dyDescent="0.3">
      <c r="A8" s="8">
        <v>200000</v>
      </c>
      <c r="B8" s="15"/>
      <c r="C8" s="9">
        <f t="shared" ref="C8:C16" si="0">B8*A8</f>
        <v>0</v>
      </c>
      <c r="D8" s="8"/>
      <c r="E8" s="17"/>
      <c r="F8" s="77"/>
      <c r="H8" s="8">
        <v>200000</v>
      </c>
      <c r="I8" s="9">
        <f>SUM('1:sheet2'!B8)</f>
        <v>0</v>
      </c>
      <c r="J8" s="9">
        <f t="shared" ref="J8:J16" si="1">H8*I8</f>
        <v>0</v>
      </c>
      <c r="K8" s="8"/>
      <c r="O8" s="8">
        <v>200000</v>
      </c>
      <c r="P8" s="15"/>
      <c r="Q8" s="9">
        <f t="shared" ref="Q8:Q16" si="2">P8*O8</f>
        <v>0</v>
      </c>
      <c r="R8" s="8"/>
    </row>
    <row r="9" spans="1:19" ht="16.8" x14ac:dyDescent="0.3">
      <c r="A9" s="8">
        <v>100000</v>
      </c>
      <c r="B9" s="15"/>
      <c r="C9" s="9">
        <f t="shared" si="0"/>
        <v>0</v>
      </c>
      <c r="D9" s="8"/>
      <c r="E9" s="17"/>
      <c r="F9" s="77" t="s">
        <v>26</v>
      </c>
      <c r="H9" s="8">
        <v>100000</v>
      </c>
      <c r="I9" s="9">
        <f>SUM('1:sheet2'!B9)</f>
        <v>0</v>
      </c>
      <c r="J9" s="9">
        <f t="shared" si="1"/>
        <v>0</v>
      </c>
      <c r="K9" s="8"/>
      <c r="O9" s="8">
        <v>100000</v>
      </c>
      <c r="P9" s="15"/>
      <c r="Q9" s="9">
        <f t="shared" si="2"/>
        <v>0</v>
      </c>
      <c r="R9" s="8"/>
    </row>
    <row r="10" spans="1:19" ht="16.8" x14ac:dyDescent="0.3">
      <c r="A10" s="8">
        <v>50000</v>
      </c>
      <c r="B10" s="15"/>
      <c r="C10" s="9">
        <f t="shared" si="0"/>
        <v>0</v>
      </c>
      <c r="D10" s="8"/>
      <c r="E10" s="17"/>
      <c r="F10" s="80"/>
      <c r="H10" s="8">
        <v>50000</v>
      </c>
      <c r="I10" s="9">
        <f>SUM('1:sheet2'!B10)</f>
        <v>0</v>
      </c>
      <c r="J10" s="9">
        <f t="shared" si="1"/>
        <v>0</v>
      </c>
      <c r="K10" s="8"/>
      <c r="O10" s="8">
        <v>50000</v>
      </c>
      <c r="P10" s="15"/>
      <c r="Q10" s="9">
        <f t="shared" si="2"/>
        <v>0</v>
      </c>
      <c r="R10" s="8"/>
    </row>
    <row r="11" spans="1:19" ht="16.8" x14ac:dyDescent="0.3">
      <c r="A11" s="8">
        <v>20000</v>
      </c>
      <c r="B11" s="15"/>
      <c r="C11" s="9">
        <f t="shared" si="0"/>
        <v>0</v>
      </c>
      <c r="D11" s="8"/>
      <c r="E11" s="17"/>
      <c r="F11" s="80"/>
      <c r="H11" s="8">
        <v>20000</v>
      </c>
      <c r="I11" s="9">
        <f>SUM('1:sheet2'!B11)</f>
        <v>0</v>
      </c>
      <c r="J11" s="9">
        <f t="shared" si="1"/>
        <v>0</v>
      </c>
      <c r="K11" s="8"/>
      <c r="O11" s="8">
        <v>20000</v>
      </c>
      <c r="P11" s="15"/>
      <c r="Q11" s="9">
        <f t="shared" si="2"/>
        <v>0</v>
      </c>
      <c r="R11" s="8"/>
    </row>
    <row r="12" spans="1:19" ht="16.8" x14ac:dyDescent="0.3">
      <c r="A12" s="8">
        <v>10000</v>
      </c>
      <c r="B12" s="15"/>
      <c r="C12" s="9">
        <f t="shared" si="0"/>
        <v>0</v>
      </c>
      <c r="D12" s="8"/>
      <c r="E12" s="17"/>
      <c r="H12" s="8">
        <v>10000</v>
      </c>
      <c r="I12" s="9">
        <f>SUM('1:sheet2'!B12)</f>
        <v>0</v>
      </c>
      <c r="J12" s="9">
        <f t="shared" si="1"/>
        <v>0</v>
      </c>
      <c r="K12" s="8"/>
      <c r="O12" s="8">
        <v>10000</v>
      </c>
      <c r="P12" s="15"/>
      <c r="Q12" s="9">
        <f t="shared" si="2"/>
        <v>0</v>
      </c>
      <c r="R12" s="8"/>
    </row>
    <row r="13" spans="1:19" ht="16.8" x14ac:dyDescent="0.3">
      <c r="A13" s="8">
        <v>5000</v>
      </c>
      <c r="B13" s="15"/>
      <c r="C13" s="9">
        <f t="shared" si="0"/>
        <v>0</v>
      </c>
      <c r="D13" s="8"/>
      <c r="E13" s="17"/>
      <c r="F13" s="81" t="s">
        <v>31</v>
      </c>
      <c r="H13" s="8">
        <v>5000</v>
      </c>
      <c r="I13" s="9">
        <f>SUM('1:sheet2'!B13)</f>
        <v>0</v>
      </c>
      <c r="J13" s="9">
        <f t="shared" si="1"/>
        <v>0</v>
      </c>
      <c r="K13" s="8"/>
      <c r="O13" s="8">
        <v>5000</v>
      </c>
      <c r="P13" s="15"/>
      <c r="Q13" s="9">
        <f t="shared" si="2"/>
        <v>0</v>
      </c>
      <c r="R13" s="8"/>
    </row>
    <row r="14" spans="1:19" ht="16.8" x14ac:dyDescent="0.3">
      <c r="A14" s="8">
        <v>2000</v>
      </c>
      <c r="B14" s="15"/>
      <c r="C14" s="9">
        <f t="shared" si="0"/>
        <v>0</v>
      </c>
      <c r="D14" s="8"/>
      <c r="E14" s="17"/>
      <c r="F14" s="81"/>
      <c r="H14" s="8">
        <v>2000</v>
      </c>
      <c r="I14" s="9">
        <f>SUM('1:sheet2'!B14)</f>
        <v>0</v>
      </c>
      <c r="J14" s="9">
        <f t="shared" si="1"/>
        <v>0</v>
      </c>
      <c r="K14" s="8"/>
      <c r="O14" s="8">
        <v>2000</v>
      </c>
      <c r="P14" s="15"/>
      <c r="Q14" s="9">
        <f t="shared" si="2"/>
        <v>0</v>
      </c>
      <c r="R14" s="8"/>
    </row>
    <row r="15" spans="1:19" ht="16.8" x14ac:dyDescent="0.3">
      <c r="A15" s="8">
        <v>1000</v>
      </c>
      <c r="B15" s="15"/>
      <c r="C15" s="9">
        <f t="shared" si="0"/>
        <v>0</v>
      </c>
      <c r="D15" s="8"/>
      <c r="E15" s="17"/>
      <c r="F15" s="81"/>
      <c r="H15" s="8">
        <v>1000</v>
      </c>
      <c r="I15" s="9">
        <f>SUM('1:sheet2'!B15)</f>
        <v>0</v>
      </c>
      <c r="J15" s="9">
        <f t="shared" si="1"/>
        <v>0</v>
      </c>
      <c r="K15" s="8"/>
      <c r="O15" s="8">
        <v>1000</v>
      </c>
      <c r="P15" s="15"/>
      <c r="Q15" s="9">
        <f t="shared" si="2"/>
        <v>0</v>
      </c>
      <c r="R15" s="8"/>
    </row>
    <row r="16" spans="1:19" ht="16.8" x14ac:dyDescent="0.3">
      <c r="A16" s="8">
        <v>500</v>
      </c>
      <c r="B16" s="15"/>
      <c r="C16" s="9">
        <f t="shared" si="0"/>
        <v>0</v>
      </c>
      <c r="D16" s="8"/>
      <c r="H16" s="8">
        <v>500</v>
      </c>
      <c r="I16" s="9">
        <f>SUM('1:sheet2'!B16)</f>
        <v>0</v>
      </c>
      <c r="J16" s="9">
        <f t="shared" si="1"/>
        <v>0</v>
      </c>
      <c r="K16" s="8"/>
      <c r="O16" s="8">
        <v>500</v>
      </c>
      <c r="P16" s="15"/>
      <c r="Q16" s="9">
        <f t="shared" si="2"/>
        <v>0</v>
      </c>
      <c r="R16" s="8"/>
    </row>
    <row r="17" spans="1:18" ht="16.8" x14ac:dyDescent="0.3">
      <c r="A17" s="82" t="s">
        <v>9</v>
      </c>
      <c r="B17" s="83"/>
      <c r="C17" s="10">
        <f>SUM(C7:C16)</f>
        <v>0</v>
      </c>
      <c r="D17" s="11"/>
      <c r="E17" s="17"/>
      <c r="H17" s="82" t="s">
        <v>33</v>
      </c>
      <c r="I17" s="83"/>
      <c r="J17" s="10">
        <f>SUM(J7:J16)-SUM('1:sheet2'!C3)</f>
        <v>0</v>
      </c>
      <c r="K17" s="11"/>
      <c r="O17" s="82" t="s">
        <v>9</v>
      </c>
      <c r="P17" s="83"/>
      <c r="Q17" s="10">
        <f>SUM(Q7:Q16)</f>
        <v>0</v>
      </c>
      <c r="R17" s="11"/>
    </row>
    <row r="18" spans="1:18" ht="16.8" x14ac:dyDescent="0.3">
      <c r="A18" s="73" t="s">
        <v>10</v>
      </c>
      <c r="B18" s="73"/>
      <c r="C18" s="14">
        <f>C17-C3+C4-C2</f>
        <v>-600000</v>
      </c>
      <c r="D18" s="12" t="str">
        <f>IF(C18&lt;0,"Thiếu tiền, kiểm tra lại","")</f>
        <v>Thiếu tiền, kiểm tra lại</v>
      </c>
      <c r="E18" s="17"/>
      <c r="H18" s="73" t="s">
        <v>10</v>
      </c>
      <c r="I18" s="73"/>
      <c r="J18" s="14">
        <f>-(SUM(BCQ!F:F)/2 -J17)+SUM('1:sheet2'!C4)</f>
        <v>-100000</v>
      </c>
      <c r="K18" s="12" t="str">
        <f>IF(J18&lt;0,"Thiếu tiền, kiểm tra lại","")</f>
        <v>Thiếu tiền, kiểm tra lại</v>
      </c>
      <c r="O18" s="73" t="s">
        <v>10</v>
      </c>
      <c r="P18" s="73"/>
      <c r="Q18" s="14">
        <f>Q17-Q19</f>
        <v>0</v>
      </c>
      <c r="R18" s="12" t="str">
        <f>IF(Q18&lt;0,"Thiếu tiền, kiểm tra lại","")</f>
        <v/>
      </c>
    </row>
    <row r="19" spans="1:18" ht="22.95" customHeight="1" x14ac:dyDescent="0.35">
      <c r="E19" s="13"/>
      <c r="G19" s="39" t="s">
        <v>22</v>
      </c>
      <c r="J19" s="29"/>
      <c r="O19" s="68" t="s">
        <v>13</v>
      </c>
      <c r="P19" s="69"/>
      <c r="Q19" s="59"/>
    </row>
    <row r="20" spans="1:18" s="37" customFormat="1" ht="17.399999999999999" x14ac:dyDescent="0.35">
      <c r="A20" s="34"/>
      <c r="B20" s="35" t="s">
        <v>11</v>
      </c>
      <c r="C20" s="35" t="s">
        <v>12</v>
      </c>
      <c r="D20" s="35" t="s">
        <v>13</v>
      </c>
      <c r="E20" s="36" t="s">
        <v>9</v>
      </c>
      <c r="F20" s="35" t="s">
        <v>10</v>
      </c>
      <c r="G20" s="39" t="s">
        <v>35</v>
      </c>
    </row>
    <row r="21" spans="1:18" s="31" customFormat="1" ht="17.399999999999999" x14ac:dyDescent="0.35">
      <c r="B21" s="40"/>
      <c r="C21" s="41"/>
      <c r="D21" s="42"/>
      <c r="E21" s="42"/>
      <c r="F21" s="42"/>
      <c r="G21" s="63" t="str">
        <f>IF(D21-SUMIF(BCQ!AA:AA,C21,BCQ!F:F)&lt;0,"Nhân viên thu thêm tiền đơn hàng. Hãy kiểm tiền lại!",IF(D21-SUMIF(BCQ!AA:AA,C21,BCQ!F:F)&gt;0,"Nhân viên thực hiện chi tiền, hãy kiểm tra lại!",""))</f>
        <v/>
      </c>
      <c r="K21" s="60">
        <f>D21-SUMIF(BCQ!AA:AA,C21,BCQ!F:F)</f>
        <v>0</v>
      </c>
    </row>
    <row r="22" spans="1:18" s="31" customFormat="1" ht="17.399999999999999" x14ac:dyDescent="0.35">
      <c r="B22" s="40"/>
      <c r="C22" s="41"/>
      <c r="D22" s="42"/>
      <c r="E22" s="42"/>
      <c r="F22" s="42"/>
      <c r="G22" s="63" t="str">
        <f>IF(D22-SUMIF(BCQ!AA:AA,C22,BCQ!F:F)&lt;0,"Nhân viên thu thêm tiền đơn hàng. Hãy kiểm tiền lại!",IF(D22-SUMIF(BCQ!AA:AA,C22,BCQ!F:F)&gt;0,"Nhân viên thực hiện chi tiền, hãy kiểm tra lại!",""))</f>
        <v/>
      </c>
      <c r="K22" s="60">
        <f>D22-SUMIF(BCQ!AA:AA,C22,BCQ!F:F)</f>
        <v>0</v>
      </c>
    </row>
    <row r="23" spans="1:18" s="31" customFormat="1" ht="17.399999999999999" x14ac:dyDescent="0.35">
      <c r="B23" s="40"/>
      <c r="C23" s="41"/>
      <c r="D23" s="42"/>
      <c r="E23" s="42"/>
      <c r="F23" s="42"/>
      <c r="G23" s="63" t="str">
        <f>IF(D23-SUMIF(BCQ!AA:AA,C23,BCQ!F:F)&lt;0,"Nhân viên thu thêm tiền đơn hàng. Hãy kiểm tiền lại!",IF(D23-SUMIF(BCQ!AA:AA,C23,BCQ!F:F)&gt;0,"Nhân viên thực hiện chi tiền, hãy kiểm tra lại!",""))</f>
        <v/>
      </c>
      <c r="K23" s="60">
        <f>D23-SUMIF(BCQ!AA:AA,C23,BCQ!F:F)</f>
        <v>0</v>
      </c>
    </row>
    <row r="24" spans="1:18" s="31" customFormat="1" ht="17.399999999999999" x14ac:dyDescent="0.35">
      <c r="B24" s="40"/>
      <c r="C24" s="41"/>
      <c r="D24" s="42"/>
      <c r="E24" s="42"/>
      <c r="F24" s="42"/>
      <c r="G24" s="63" t="str">
        <f>IF(D24-SUMIF(BCQ!AA:AA,C24,BCQ!F:F)&lt;0,"Nhân viên thu thêm tiền đơn hàng. Hãy kiểm tiền lại!",IF(D24-SUMIF(BCQ!AA:AA,C24,BCQ!F:F)&gt;0,"Nhân viên thực hiện chi tiền, hãy kiểm tra lại!",""))</f>
        <v/>
      </c>
      <c r="K24" s="60">
        <f>D24-SUMIF(BCQ!AA:AA,C24,BCQ!F:F)</f>
        <v>0</v>
      </c>
    </row>
    <row r="25" spans="1:18" s="31" customFormat="1" ht="17.399999999999999" x14ac:dyDescent="0.35">
      <c r="B25" s="40"/>
      <c r="C25" s="41"/>
      <c r="D25" s="42"/>
      <c r="E25" s="42"/>
      <c r="F25" s="42"/>
      <c r="G25" s="63" t="str">
        <f>IF(D25-SUMIF(BCQ!AA:AA,C25,BCQ!F:F)&lt;0,"Nhân viên thu thêm tiền đơn hàng. Hãy kiểm tiền lại!",IF(D25-SUMIF(BCQ!AA:AA,C25,BCQ!F:F)&gt;0,"Nhân viên thực hiện chi tiền, hãy kiểm tra lại!",""))</f>
        <v/>
      </c>
      <c r="K25" s="60">
        <f>D25-SUMIF(BCQ!AA:AA,C25,BCQ!F:F)</f>
        <v>0</v>
      </c>
    </row>
    <row r="26" spans="1:18" s="31" customFormat="1" ht="17.399999999999999" x14ac:dyDescent="0.35">
      <c r="B26" s="40"/>
      <c r="C26" s="41"/>
      <c r="D26" s="42"/>
      <c r="E26" s="42"/>
      <c r="F26" s="42"/>
      <c r="G26" s="63" t="str">
        <f>IF(D26-SUMIF(BCQ!AA:AA,C26,BCQ!F:F)&lt;0,"Nhân viên thu thêm tiền đơn hàng. Hãy kiểm tiền lại!",IF(D26-SUMIF(BCQ!AA:AA,C26,BCQ!F:F)&gt;0,"Nhân viên thực hiện chi tiền, hãy kiểm tra lại!",""))</f>
        <v/>
      </c>
      <c r="K26" s="60">
        <f>D26-SUMIF(BCQ!AA:AA,C26,BCQ!F:F)</f>
        <v>0</v>
      </c>
    </row>
    <row r="27" spans="1:18" s="31" customFormat="1" ht="17.399999999999999" x14ac:dyDescent="0.35">
      <c r="B27" s="40"/>
      <c r="C27" s="41"/>
      <c r="D27" s="42"/>
      <c r="E27" s="42"/>
      <c r="F27" s="42"/>
      <c r="G27" s="63" t="str">
        <f>IF(D27-SUMIF(BCQ!AA:AA,C27,BCQ!F:F)&lt;0,"Nhân viên thu thêm tiền đơn hàng. Hãy kiểm tiền lại!",IF(D27-SUMIF(BCQ!AA:AA,C27,BCQ!F:F)&gt;0,"Nhân viên thực hiện chi tiền, hãy kiểm tra lại!",""))</f>
        <v/>
      </c>
      <c r="K27" s="60">
        <f>D27-SUMIF(BCQ!AA:AA,C27,BCQ!F:F)</f>
        <v>0</v>
      </c>
    </row>
    <row r="28" spans="1:18" s="31" customFormat="1" ht="17.399999999999999" x14ac:dyDescent="0.35">
      <c r="B28" s="40"/>
      <c r="C28" s="41"/>
      <c r="D28" s="42"/>
      <c r="E28" s="42"/>
      <c r="F28" s="42"/>
      <c r="G28" s="63" t="str">
        <f>IF(D28-SUMIF(BCQ!AA:AA,C28,BCQ!F:F)&lt;0,"Nhân viên thu thêm tiền đơn hàng. Hãy kiểm tiền lại!",IF(D28-SUMIF(BCQ!AA:AA,C28,BCQ!F:F)&gt;0,"Nhân viên thực hiện chi tiền, hãy kiểm tra lại!",""))</f>
        <v/>
      </c>
      <c r="K28" s="60">
        <f>D28-SUMIF(BCQ!AA:AA,C28,BCQ!F:F)</f>
        <v>0</v>
      </c>
    </row>
    <row r="29" spans="1:18" s="31" customFormat="1" ht="17.399999999999999" x14ac:dyDescent="0.35">
      <c r="B29" s="40"/>
      <c r="C29" s="41"/>
      <c r="D29" s="42"/>
      <c r="E29" s="42"/>
      <c r="F29" s="42"/>
      <c r="G29" s="63" t="str">
        <f>IF(D29-SUMIF(BCQ!AA:AA,C29,BCQ!F:F)&lt;0,"Nhân viên thu thêm tiền đơn hàng. Hãy kiểm tiền lại!",IF(D29-SUMIF(BCQ!AA:AA,C29,BCQ!F:F)&gt;0,"Nhân viên thực hiện chi tiền, hãy kiểm tra lại!",""))</f>
        <v/>
      </c>
      <c r="K29" s="60">
        <f>D29-SUMIF(BCQ!AA:AA,C29,BCQ!F:F)</f>
        <v>0</v>
      </c>
    </row>
    <row r="30" spans="1:18" s="31" customFormat="1" ht="17.399999999999999" x14ac:dyDescent="0.35">
      <c r="B30" s="40"/>
      <c r="C30" s="41"/>
      <c r="D30" s="42"/>
      <c r="E30" s="42"/>
      <c r="F30" s="42"/>
      <c r="G30" s="63" t="str">
        <f>IF(D30-SUMIF(BCQ!AA:AA,C30,BCQ!F:F)&lt;0,"Nhân viên thu thêm tiền đơn hàng. Hãy kiểm tiền lại!",IF(D30-SUMIF(BCQ!AA:AA,C30,BCQ!F:F)&gt;0,"Nhân viên thực hiện chi tiền, hãy kiểm tra lại!",""))</f>
        <v/>
      </c>
      <c r="K30" s="60">
        <f>D30-SUMIF(BCQ!AA:AA,C30,BCQ!F:F)</f>
        <v>0</v>
      </c>
    </row>
    <row r="31" spans="1:18" s="31" customFormat="1" ht="17.399999999999999" x14ac:dyDescent="0.35">
      <c r="B31" s="40"/>
      <c r="C31" s="41"/>
      <c r="D31" s="42"/>
      <c r="E31" s="42"/>
      <c r="F31" s="42"/>
      <c r="G31" s="63" t="str">
        <f>IF(D31-SUMIF(BCQ!AA:AA,C31,BCQ!F:F)&lt;0,"Nhân viên thu thêm tiền đơn hàng. Hãy kiểm tiền lại!",IF(D31-SUMIF(BCQ!AA:AA,C31,BCQ!F:F)&gt;0,"Nhân viên thực hiện chi tiền, hãy kiểm tra lại!",""))</f>
        <v/>
      </c>
      <c r="K31" s="60">
        <f>D31-SUMIF(BCQ!AA:AA,C31,BCQ!F:F)</f>
        <v>0</v>
      </c>
    </row>
    <row r="32" spans="1:18" s="31" customFormat="1" ht="17.399999999999999" x14ac:dyDescent="0.35">
      <c r="B32" s="40"/>
      <c r="C32" s="41"/>
      <c r="D32" s="42"/>
      <c r="E32" s="42"/>
      <c r="F32" s="42"/>
      <c r="G32" s="63" t="str">
        <f>IF(D32-SUMIF(BCQ!AA:AA,C32,BCQ!F:F)&lt;0,"Nhân viên thu thêm tiền đơn hàng. Hãy kiểm tiền lại!",IF(D32-SUMIF(BCQ!AA:AA,C32,BCQ!F:F)&gt;0,"Nhân viên thực hiện chi tiền, hãy kiểm tra lại!",""))</f>
        <v/>
      </c>
      <c r="K32" s="60">
        <f>D32-SUMIF(BCQ!AA:AA,C32,BCQ!F:F)</f>
        <v>0</v>
      </c>
    </row>
    <row r="33" spans="2:11" s="31" customFormat="1" ht="17.399999999999999" x14ac:dyDescent="0.35">
      <c r="B33" s="43"/>
      <c r="C33" s="44"/>
      <c r="D33" s="47"/>
      <c r="E33" s="47"/>
      <c r="F33" s="47"/>
      <c r="G33" s="63" t="str">
        <f>IF(D33-SUMIF(BCQ!AA:AA,C33,BCQ!F:F)&lt;0,"Nhân viên thu thêm tiền đơn hàng. Hãy kiểm tiền lại!",IF(D33-SUMIF(BCQ!AA:AA,C33,BCQ!F:F)&gt;0,"Nhân viên thực hiện chi tiền, hãy kiểm tra lại!",""))</f>
        <v/>
      </c>
      <c r="K33" s="60">
        <f>D33-SUMIF(BCQ!AA:AA,C33,BCQ!F:F)</f>
        <v>0</v>
      </c>
    </row>
    <row r="34" spans="2:11" s="31" customFormat="1" ht="17.399999999999999" x14ac:dyDescent="0.35">
      <c r="B34" s="43"/>
      <c r="C34" s="44"/>
      <c r="D34" s="47"/>
      <c r="E34" s="47"/>
      <c r="F34" s="47"/>
      <c r="G34" s="63" t="str">
        <f>IF(D34-SUMIF(BCQ!AA:AA,C34,BCQ!F:F)&lt;0,"Nhân viên thu thêm tiền đơn hàng. Hãy kiểm tiền lại!",IF(D34-SUMIF(BCQ!AA:AA,C34,BCQ!F:F)&gt;0,"Nhân viên thực hiện chi tiền, hãy kiểm tra lại!",""))</f>
        <v/>
      </c>
      <c r="K34" s="60">
        <f>D34-SUMIF(BCQ!AA:AA,C34,BCQ!F:F)</f>
        <v>0</v>
      </c>
    </row>
    <row r="35" spans="2:11" s="31" customFormat="1" ht="17.399999999999999" x14ac:dyDescent="0.35">
      <c r="B35" s="43"/>
      <c r="C35" s="44"/>
      <c r="D35" s="47"/>
      <c r="E35" s="47"/>
      <c r="F35" s="47"/>
      <c r="G35" s="63" t="str">
        <f>IF(D35-SUMIF(BCQ!AA:AA,C35,BCQ!F:F)&lt;0,"Nhân viên thu thêm tiền đơn hàng. Hãy kiểm tiền lại!",IF(D35-SUMIF(BCQ!AA:AA,C35,BCQ!F:F)&gt;0,"Nhân viên thực hiện chi tiền, hãy kiểm tra lại!",""))</f>
        <v/>
      </c>
      <c r="K35" s="60">
        <f>D35-SUMIF(BCQ!AA:AA,C35,BCQ!F:F)</f>
        <v>0</v>
      </c>
    </row>
    <row r="36" spans="2:11" s="31" customFormat="1" ht="17.399999999999999" x14ac:dyDescent="0.35">
      <c r="B36" s="43"/>
      <c r="C36" s="44"/>
      <c r="D36" s="47"/>
      <c r="E36" s="47"/>
      <c r="F36" s="47"/>
      <c r="G36" s="63" t="str">
        <f>IF(D36-SUMIF(BCQ!AA:AA,C36,BCQ!F:F)&lt;0,"Nhân viên thu thêm tiền đơn hàng. Hãy kiểm tiền lại!",IF(D36-SUMIF(BCQ!AA:AA,C36,BCQ!F:F)&gt;0,"Nhân viên thực hiện chi tiền, hãy kiểm tra lại!",""))</f>
        <v/>
      </c>
      <c r="K36" s="60">
        <f>D36-SUMIF(BCQ!AA:AA,C36,BCQ!F:F)</f>
        <v>0</v>
      </c>
    </row>
    <row r="37" spans="2:11" s="31" customFormat="1" ht="17.399999999999999" x14ac:dyDescent="0.35">
      <c r="B37" s="43"/>
      <c r="C37" s="44"/>
      <c r="D37" s="47"/>
      <c r="E37" s="47"/>
      <c r="F37" s="47"/>
      <c r="G37" s="63" t="str">
        <f>IF(D37-SUMIF(BCQ!AA:AA,C37,BCQ!F:F)&lt;0,"Nhân viên thu thêm tiền đơn hàng. Hãy kiểm tiền lại!",IF(D37-SUMIF(BCQ!AA:AA,C37,BCQ!F:F)&gt;0,"Nhân viên thực hiện chi tiền, hãy kiểm tra lại!",""))</f>
        <v/>
      </c>
      <c r="K37" s="60">
        <f>D37-SUMIF(BCQ!AA:AA,C37,BCQ!F:F)</f>
        <v>0</v>
      </c>
    </row>
    <row r="38" spans="2:11" s="31" customFormat="1" ht="17.399999999999999" x14ac:dyDescent="0.35">
      <c r="B38" s="43"/>
      <c r="C38" s="44"/>
      <c r="D38" s="47"/>
      <c r="E38" s="47"/>
      <c r="F38" s="47"/>
      <c r="G38" s="63" t="str">
        <f>IF(D38-SUMIF(BCQ!AA:AA,C38,BCQ!F:F)&lt;0,"Nhân viên thu thêm tiền đơn hàng. Hãy kiểm tiền lại!",IF(D38-SUMIF(BCQ!AA:AA,C38,BCQ!F:F)&gt;0,"Nhân viên thực hiện chi tiền, hãy kiểm tra lại!",""))</f>
        <v/>
      </c>
      <c r="K38" s="60">
        <f>D38-SUMIF(BCQ!AA:AA,C38,BCQ!F:F)</f>
        <v>0</v>
      </c>
    </row>
    <row r="39" spans="2:11" s="31" customFormat="1" ht="17.399999999999999" x14ac:dyDescent="0.35">
      <c r="B39" s="43"/>
      <c r="C39" s="44"/>
      <c r="D39" s="47"/>
      <c r="E39" s="47"/>
      <c r="F39" s="47"/>
      <c r="G39" s="63" t="str">
        <f>IF(D39-SUMIF(BCQ!AA:AA,C39,BCQ!F:F)&lt;0,"Nhân viên thu thêm tiền đơn hàng. Hãy kiểm tiền lại!",IF(D39-SUMIF(BCQ!AA:AA,C39,BCQ!F:F)&gt;0,"Nhân viên thực hiện chi tiền, hãy kiểm tra lại!",""))</f>
        <v/>
      </c>
      <c r="K39" s="60">
        <f>D39-SUMIF(BCQ!AA:AA,C39,BCQ!F:F)</f>
        <v>0</v>
      </c>
    </row>
    <row r="40" spans="2:11" s="31" customFormat="1" ht="17.399999999999999" x14ac:dyDescent="0.35">
      <c r="B40" s="43"/>
      <c r="C40" s="44"/>
      <c r="D40" s="47"/>
      <c r="E40" s="47"/>
      <c r="F40" s="47"/>
      <c r="G40" s="63" t="str">
        <f>IF(D40-SUMIF(BCQ!AA:AA,C40,BCQ!F:F)&lt;0,"Nhân viên thu thêm tiền đơn hàng. Hãy kiểm tiền lại!",IF(D40-SUMIF(BCQ!AA:AA,C40,BCQ!F:F)&gt;0,"Nhân viên thực hiện chi tiền, hãy kiểm tra lại!",""))</f>
        <v/>
      </c>
      <c r="K40" s="60">
        <f>D40-SUMIF(BCQ!AA:AA,C40,BCQ!F:F)</f>
        <v>0</v>
      </c>
    </row>
    <row r="41" spans="2:11" s="31" customFormat="1" ht="15.6" x14ac:dyDescent="0.3">
      <c r="B41" s="38"/>
      <c r="D41" s="60"/>
      <c r="E41" s="60"/>
      <c r="F41" s="60"/>
      <c r="G41" s="63" t="str">
        <f>IF(D41-SUMIF(BCQ!AA:AA,C41,BCQ!F:F)&lt;0,"Nhân viên thu thêm tiền đơn hàng. Hãy kiểm tiền lại!",IF(D41-SUMIF(BCQ!AA:AA,C41,BCQ!F:F)&gt;0,"Nhân viên thực hiện chi tiền, hãy kiểm tra lại!",""))</f>
        <v/>
      </c>
      <c r="K41" s="60">
        <f>D41-SUMIF(BCQ!AA:AA,C41,BCQ!F:F)</f>
        <v>0</v>
      </c>
    </row>
    <row r="42" spans="2:11" s="31" customFormat="1" ht="15.6" x14ac:dyDescent="0.3">
      <c r="B42" s="38"/>
      <c r="D42" s="60"/>
      <c r="E42" s="60"/>
      <c r="F42" s="60"/>
      <c r="G42" s="63" t="str">
        <f>IF(D42-SUMIF(BCQ!AA:AA,C42,BCQ!F:F)&lt;0,"Nhân viên thu thêm tiền đơn hàng. Hãy kiểm tiền lại!",IF(D42-SUMIF(BCQ!AA:AA,C42,BCQ!F:F)&gt;0,"Nhân viên thực hiện chi tiền, hãy kiểm tra lại!",""))</f>
        <v/>
      </c>
      <c r="K42" s="60">
        <f>D42-SUMIF(BCQ!AA:AA,C42,BCQ!F:F)</f>
        <v>0</v>
      </c>
    </row>
    <row r="43" spans="2:11" s="31" customFormat="1" ht="15.6" x14ac:dyDescent="0.3">
      <c r="B43" s="38"/>
      <c r="D43" s="60"/>
      <c r="E43" s="60"/>
      <c r="F43" s="60"/>
      <c r="G43" s="63" t="str">
        <f>IF(D43-SUMIF(BCQ!AA:AA,C43,BCQ!F:F)&lt;0,"Nhân viên thu thêm tiền đơn hàng. Hãy kiểm tiền lại!",IF(D43-SUMIF(BCQ!AA:AA,C43,BCQ!F:F)&gt;0,"Nhân viên thực hiện chi tiền, hãy kiểm tra lại!",""))</f>
        <v/>
      </c>
      <c r="K43" s="60">
        <f>D43-SUMIF(BCQ!AA:AA,C43,BCQ!F:F)</f>
        <v>0</v>
      </c>
    </row>
    <row r="44" spans="2:11" s="31" customFormat="1" ht="15.6" x14ac:dyDescent="0.3">
      <c r="B44" s="38"/>
      <c r="D44" s="60"/>
      <c r="E44" s="60"/>
      <c r="F44" s="60"/>
      <c r="G44" s="63" t="str">
        <f>IF(D44-SUMIF(BCQ!AA:AA,C44,BCQ!F:F)&lt;0,"Nhân viên thu thêm tiền đơn hàng. Hãy kiểm tiền lại!",IF(D44-SUMIF(BCQ!AA:AA,C44,BCQ!F:F)&gt;0,"Nhân viên thực hiện chi tiền, hãy kiểm tra lại!",""))</f>
        <v/>
      </c>
      <c r="K44" s="60">
        <f>D44-SUMIF(BCQ!AA:AA,C44,BCQ!F:F)</f>
        <v>0</v>
      </c>
    </row>
    <row r="45" spans="2:11" s="31" customFormat="1" ht="15.6" x14ac:dyDescent="0.3">
      <c r="B45" s="38"/>
      <c r="D45" s="60"/>
      <c r="E45" s="60"/>
      <c r="F45" s="60"/>
      <c r="G45" s="63" t="str">
        <f>IF(D45-SUMIF(BCQ!AA:AA,C45,BCQ!F:F)&lt;0,"Nhân viên thu thêm tiền đơn hàng. Hãy kiểm tiền lại!",IF(D45-SUMIF(BCQ!AA:AA,C45,BCQ!F:F)&gt;0,"Nhân viên thực hiện chi tiền, hãy kiểm tra lại!",""))</f>
        <v/>
      </c>
      <c r="K45" s="60">
        <f>D45-SUMIF(BCQ!AA:AA,C45,BCQ!F:F)</f>
        <v>0</v>
      </c>
    </row>
    <row r="46" spans="2:11" s="31" customFormat="1" ht="15.6" x14ac:dyDescent="0.3">
      <c r="B46" s="38"/>
      <c r="D46" s="60"/>
      <c r="E46" s="60"/>
      <c r="F46" s="60"/>
      <c r="G46" s="63" t="str">
        <f>IF(D46-SUMIF(BCQ!AA:AA,C46,BCQ!F:F)&lt;0,"Nhân viên thu thêm tiền đơn hàng. Hãy kiểm tiền lại!",IF(D46-SUMIF(BCQ!AA:AA,C46,BCQ!F:F)&gt;0,"Nhân viên thực hiện chi tiền, hãy kiểm tra lại!",""))</f>
        <v/>
      </c>
      <c r="K46" s="60">
        <f>D46-SUMIF(BCQ!AA:AA,C46,BCQ!F:F)</f>
        <v>0</v>
      </c>
    </row>
    <row r="47" spans="2:11" s="31" customFormat="1" ht="15.6" x14ac:dyDescent="0.3">
      <c r="B47" s="38"/>
      <c r="D47" s="60"/>
      <c r="E47" s="60"/>
      <c r="F47" s="60"/>
      <c r="G47" s="63" t="str">
        <f>IF(D47-SUMIF(BCQ!AA:AA,C47,BCQ!F:F)&lt;0,"Nhân viên thu thêm tiền đơn hàng. Hãy kiểm tiền lại!",IF(D47-SUMIF(BCQ!AA:AA,C47,BCQ!F:F)&gt;0,"Nhân viên thực hiện chi tiền, hãy kiểm tra lại!",""))</f>
        <v/>
      </c>
      <c r="K47" s="60">
        <f>D47-SUMIF(BCQ!AA:AA,C47,BCQ!F:F)</f>
        <v>0</v>
      </c>
    </row>
    <row r="48" spans="2:11" s="31" customFormat="1" ht="15.6" x14ac:dyDescent="0.3">
      <c r="B48" s="38"/>
      <c r="D48" s="60"/>
      <c r="E48" s="60"/>
      <c r="F48" s="60"/>
      <c r="G48" s="63" t="str">
        <f>IF(D48-SUMIF(BCQ!AA:AA,C48,BCQ!F:F)&lt;0,"Nhân viên thu thêm tiền đơn hàng. Hãy kiểm tiền lại!",IF(D48-SUMIF(BCQ!AA:AA,C48,BCQ!F:F)&gt;0,"Nhân viên thực hiện chi tiền, hãy kiểm tra lại!",""))</f>
        <v/>
      </c>
      <c r="K48" s="60">
        <f>D48-SUMIF(BCQ!AA:AA,C48,BCQ!F:F)</f>
        <v>0</v>
      </c>
    </row>
    <row r="49" spans="2:11" s="31" customFormat="1" ht="15.6" x14ac:dyDescent="0.3">
      <c r="B49" s="38"/>
      <c r="D49" s="60"/>
      <c r="E49" s="60"/>
      <c r="F49" s="60"/>
      <c r="G49" s="63" t="str">
        <f>IF(D49-SUMIF(BCQ!AA:AA,C49,BCQ!F:F)&lt;0,"Nhân viên thu thêm tiền đơn hàng. Hãy kiểm tiền lại!",IF(D49-SUMIF(BCQ!AA:AA,C49,BCQ!F:F)&gt;0,"Nhân viên thực hiện chi tiền, hãy kiểm tra lại!",""))</f>
        <v/>
      </c>
      <c r="K49" s="60">
        <f>D49-SUMIF(BCQ!AA:AA,C49,BCQ!F:F)</f>
        <v>0</v>
      </c>
    </row>
    <row r="50" spans="2:11" s="31" customFormat="1" x14ac:dyDescent="0.3">
      <c r="B50" s="38"/>
      <c r="D50" s="60"/>
      <c r="E50" s="60"/>
      <c r="F50" s="60"/>
      <c r="G50" s="62"/>
      <c r="K50" s="60">
        <f>D50-SUMIF(BCQ!AA:AA,C50,BCQ!F:F)</f>
        <v>0</v>
      </c>
    </row>
    <row r="51" spans="2:11" s="31" customFormat="1" x14ac:dyDescent="0.3">
      <c r="B51" s="38"/>
      <c r="D51" s="60"/>
      <c r="E51" s="60"/>
      <c r="F51" s="60"/>
      <c r="G51" s="62"/>
      <c r="K51" s="60">
        <f>D51-SUMIF(BCQ!AA:AA,C51,BCQ!F:F)</f>
        <v>0</v>
      </c>
    </row>
    <row r="52" spans="2:11" s="31" customFormat="1" x14ac:dyDescent="0.3">
      <c r="B52" s="38"/>
      <c r="D52" s="60"/>
      <c r="E52" s="60"/>
      <c r="F52" s="60"/>
      <c r="G52" s="62"/>
      <c r="K52" s="60">
        <f>D52-SUMIF(BCQ!AA:AA,C52,BCQ!F:F)</f>
        <v>0</v>
      </c>
    </row>
    <row r="53" spans="2:11" s="31" customFormat="1" x14ac:dyDescent="0.3">
      <c r="B53" s="38"/>
      <c r="D53" s="60"/>
      <c r="E53" s="60"/>
      <c r="F53" s="60"/>
      <c r="G53" s="62"/>
      <c r="K53" s="60">
        <f>D53-SUMIF(BCQ!AA:AA,C53,BCQ!F:F)</f>
        <v>0</v>
      </c>
    </row>
    <row r="54" spans="2:11" s="31" customFormat="1" x14ac:dyDescent="0.3">
      <c r="B54" s="38"/>
      <c r="D54" s="60"/>
      <c r="E54" s="60"/>
      <c r="F54" s="60"/>
      <c r="G54" s="62"/>
      <c r="K54" s="60">
        <f>D54-SUMIF(BCQ!AA:AA,C54,BCQ!F:F)</f>
        <v>0</v>
      </c>
    </row>
    <row r="55" spans="2:11" s="31" customFormat="1" x14ac:dyDescent="0.3">
      <c r="B55" s="38"/>
      <c r="D55" s="60"/>
      <c r="E55" s="60"/>
      <c r="F55" s="60"/>
      <c r="G55" s="62"/>
      <c r="K55" s="60">
        <f>D55-SUMIF(BCQ!AA:AA,C55,BCQ!F:F)</f>
        <v>0</v>
      </c>
    </row>
    <row r="56" spans="2:11" s="31" customFormat="1" x14ac:dyDescent="0.3">
      <c r="B56" s="38"/>
      <c r="D56" s="60"/>
      <c r="E56" s="60"/>
      <c r="F56" s="60"/>
      <c r="G56" s="62"/>
      <c r="K56" s="60">
        <f>D56-SUMIF(BCQ!AA:AA,C56,BCQ!F:F)</f>
        <v>0</v>
      </c>
    </row>
    <row r="57" spans="2:11" s="31" customFormat="1" x14ac:dyDescent="0.3">
      <c r="B57" s="38"/>
      <c r="D57" s="60"/>
      <c r="E57" s="60"/>
      <c r="F57" s="60"/>
      <c r="K57" s="60">
        <f>D57-SUMIF(BCQ!AA:AA,C57,BCQ!F:F)</f>
        <v>0</v>
      </c>
    </row>
    <row r="58" spans="2:11" s="31" customFormat="1" x14ac:dyDescent="0.3">
      <c r="B58" s="38"/>
      <c r="D58" s="60"/>
      <c r="E58" s="60"/>
      <c r="F58" s="60"/>
      <c r="K58" s="60">
        <f>D58-SUMIF(BCQ!AA:AA,C58,BCQ!F:F)</f>
        <v>0</v>
      </c>
    </row>
    <row r="59" spans="2:11" s="31" customFormat="1" x14ac:dyDescent="0.3">
      <c r="B59" s="38"/>
      <c r="K59" s="60">
        <f>D59-SUMIF(BCQ!AA:AA,C59,BCQ!F:F)</f>
        <v>0</v>
      </c>
    </row>
    <row r="60" spans="2:11" s="31" customFormat="1" x14ac:dyDescent="0.3">
      <c r="B60" s="38"/>
      <c r="K60" s="60">
        <f>D60-SUMIF(BCQ!AA:AA,C60,BCQ!F:F)</f>
        <v>0</v>
      </c>
    </row>
    <row r="61" spans="2:11" s="31" customFormat="1" x14ac:dyDescent="0.3">
      <c r="B61" s="38"/>
      <c r="K61" s="60">
        <f>D61-SUMIF(BCQ!AA:AA,C61,BCQ!F:F)</f>
        <v>0</v>
      </c>
    </row>
    <row r="62" spans="2:11" s="31" customFormat="1" x14ac:dyDescent="0.3">
      <c r="B62" s="38"/>
      <c r="K62" s="60">
        <f>D62-SUMIF(BCQ!AA:AA,C62,BCQ!F:F)</f>
        <v>0</v>
      </c>
    </row>
    <row r="63" spans="2:11" s="31" customFormat="1" x14ac:dyDescent="0.3">
      <c r="B63" s="38"/>
    </row>
    <row r="64" spans="2:11" s="31" customFormat="1" x14ac:dyDescent="0.3">
      <c r="B64" s="38"/>
    </row>
    <row r="65" spans="2:2" s="31" customFormat="1" x14ac:dyDescent="0.3">
      <c r="B65" s="38"/>
    </row>
    <row r="66" spans="2:2" s="31" customFormat="1" x14ac:dyDescent="0.3">
      <c r="B66" s="38"/>
    </row>
    <row r="67" spans="2:2" s="31" customFormat="1" x14ac:dyDescent="0.3">
      <c r="B67" s="38"/>
    </row>
    <row r="68" spans="2:2" s="31" customFormat="1" x14ac:dyDescent="0.3">
      <c r="B68" s="38"/>
    </row>
    <row r="69" spans="2:2" s="31" customFormat="1" x14ac:dyDescent="0.3">
      <c r="B69" s="38"/>
    </row>
    <row r="70" spans="2:2" s="31" customFormat="1" x14ac:dyDescent="0.3">
      <c r="B70" s="38"/>
    </row>
    <row r="71" spans="2:2" s="31" customFormat="1" x14ac:dyDescent="0.3">
      <c r="B71" s="38"/>
    </row>
    <row r="72" spans="2:2" s="31" customFormat="1" x14ac:dyDescent="0.3">
      <c r="B72" s="38"/>
    </row>
    <row r="73" spans="2:2" s="31" customFormat="1" x14ac:dyDescent="0.3">
      <c r="B73" s="38"/>
    </row>
    <row r="74" spans="2:2" s="31" customFormat="1" x14ac:dyDescent="0.3">
      <c r="B74" s="38"/>
    </row>
    <row r="75" spans="2:2" s="31" customFormat="1" x14ac:dyDescent="0.3">
      <c r="B75" s="38"/>
    </row>
    <row r="76" spans="2:2" s="31" customFormat="1" x14ac:dyDescent="0.3">
      <c r="B76" s="38"/>
    </row>
    <row r="77" spans="2:2" s="31" customFormat="1" x14ac:dyDescent="0.3">
      <c r="B77" s="38"/>
    </row>
    <row r="78" spans="2:2" s="31" customFormat="1" x14ac:dyDescent="0.3">
      <c r="B78" s="38"/>
    </row>
    <row r="79" spans="2:2" s="31" customFormat="1" x14ac:dyDescent="0.3">
      <c r="B79" s="38"/>
    </row>
    <row r="80" spans="2:2" s="31" customFormat="1" x14ac:dyDescent="0.3">
      <c r="B80" s="38"/>
    </row>
    <row r="81" spans="2:2" s="31" customFormat="1" x14ac:dyDescent="0.3">
      <c r="B81" s="38"/>
    </row>
    <row r="82" spans="2:2" s="31" customFormat="1" x14ac:dyDescent="0.3">
      <c r="B82" s="38"/>
    </row>
    <row r="83" spans="2:2" s="31" customFormat="1" x14ac:dyDescent="0.3">
      <c r="B83" s="38"/>
    </row>
    <row r="84" spans="2:2" s="31" customFormat="1" x14ac:dyDescent="0.3">
      <c r="B84" s="38"/>
    </row>
    <row r="85" spans="2:2" s="31" customFormat="1" x14ac:dyDescent="0.3">
      <c r="B85" s="38"/>
    </row>
    <row r="86" spans="2:2" s="31" customFormat="1" x14ac:dyDescent="0.3">
      <c r="B86" s="38"/>
    </row>
    <row r="87" spans="2:2" s="31" customFormat="1" x14ac:dyDescent="0.3">
      <c r="B87" s="38"/>
    </row>
    <row r="88" spans="2:2" s="31" customFormat="1" x14ac:dyDescent="0.3">
      <c r="B88" s="38"/>
    </row>
    <row r="89" spans="2:2" s="31" customFormat="1" x14ac:dyDescent="0.3">
      <c r="B89" s="38"/>
    </row>
    <row r="90" spans="2:2" s="31" customFormat="1" x14ac:dyDescent="0.3">
      <c r="B90" s="38"/>
    </row>
    <row r="91" spans="2:2" s="31" customFormat="1" x14ac:dyDescent="0.3">
      <c r="B91" s="38"/>
    </row>
    <row r="92" spans="2:2" s="31" customFormat="1" x14ac:dyDescent="0.3">
      <c r="B92" s="38"/>
    </row>
    <row r="93" spans="2:2" s="31" customFormat="1" x14ac:dyDescent="0.3">
      <c r="B93" s="38"/>
    </row>
    <row r="94" spans="2:2" s="31" customFormat="1" x14ac:dyDescent="0.3">
      <c r="B94" s="38"/>
    </row>
    <row r="95" spans="2:2" s="31" customFormat="1" x14ac:dyDescent="0.3">
      <c r="B95" s="38"/>
    </row>
    <row r="96" spans="2:2" s="31" customFormat="1" x14ac:dyDescent="0.3">
      <c r="B96" s="38"/>
    </row>
    <row r="97" spans="2:2" s="31" customFormat="1" x14ac:dyDescent="0.3">
      <c r="B97" s="38"/>
    </row>
    <row r="98" spans="2:2" s="31" customFormat="1" x14ac:dyDescent="0.3">
      <c r="B98" s="38"/>
    </row>
    <row r="99" spans="2:2" s="31" customFormat="1" x14ac:dyDescent="0.3">
      <c r="B99" s="38"/>
    </row>
    <row r="100" spans="2:2" s="31" customFormat="1" x14ac:dyDescent="0.3">
      <c r="B100" s="38"/>
    </row>
    <row r="101" spans="2:2" s="31" customFormat="1" x14ac:dyDescent="0.3">
      <c r="B101" s="38"/>
    </row>
    <row r="102" spans="2:2" s="31" customFormat="1" x14ac:dyDescent="0.3">
      <c r="B102" s="38"/>
    </row>
    <row r="103" spans="2:2" s="31" customFormat="1" x14ac:dyDescent="0.3">
      <c r="B103" s="38"/>
    </row>
    <row r="104" spans="2:2" s="31" customFormat="1" x14ac:dyDescent="0.3">
      <c r="B104" s="38"/>
    </row>
    <row r="105" spans="2:2" s="31" customFormat="1" x14ac:dyDescent="0.3">
      <c r="B105" s="38"/>
    </row>
    <row r="106" spans="2:2" s="31" customFormat="1" x14ac:dyDescent="0.3">
      <c r="B106" s="38"/>
    </row>
    <row r="107" spans="2:2" s="31" customFormat="1" x14ac:dyDescent="0.3">
      <c r="B107" s="38"/>
    </row>
    <row r="108" spans="2:2" s="31" customFormat="1" x14ac:dyDescent="0.3">
      <c r="B108" s="38"/>
    </row>
    <row r="109" spans="2:2" s="31" customFormat="1" x14ac:dyDescent="0.3">
      <c r="B109" s="38"/>
    </row>
    <row r="110" spans="2:2" s="31" customFormat="1" x14ac:dyDescent="0.3">
      <c r="B110" s="38"/>
    </row>
    <row r="111" spans="2:2" s="31" customFormat="1" x14ac:dyDescent="0.3">
      <c r="B111" s="38"/>
    </row>
    <row r="112" spans="2:2" s="31" customFormat="1" x14ac:dyDescent="0.3">
      <c r="B112" s="38"/>
    </row>
    <row r="113" spans="2:2" s="31" customFormat="1" x14ac:dyDescent="0.3">
      <c r="B113" s="38"/>
    </row>
    <row r="114" spans="2:2" s="31" customFormat="1" x14ac:dyDescent="0.3">
      <c r="B114" s="38"/>
    </row>
    <row r="115" spans="2:2" s="31" customFormat="1" x14ac:dyDescent="0.3">
      <c r="B115" s="38"/>
    </row>
    <row r="116" spans="2:2" s="31" customFormat="1" x14ac:dyDescent="0.3">
      <c r="B116" s="38"/>
    </row>
    <row r="117" spans="2:2" s="31" customFormat="1" x14ac:dyDescent="0.3">
      <c r="B117" s="38"/>
    </row>
    <row r="118" spans="2:2" s="31" customFormat="1" x14ac:dyDescent="0.3">
      <c r="B118" s="38"/>
    </row>
    <row r="119" spans="2:2" s="31" customFormat="1" x14ac:dyDescent="0.3">
      <c r="B119" s="38"/>
    </row>
    <row r="120" spans="2:2" s="31" customFormat="1" x14ac:dyDescent="0.3">
      <c r="B120" s="38"/>
    </row>
    <row r="121" spans="2:2" s="31" customFormat="1" x14ac:dyDescent="0.3">
      <c r="B121" s="38"/>
    </row>
    <row r="122" spans="2:2" s="31" customFormat="1" x14ac:dyDescent="0.3">
      <c r="B122" s="38"/>
    </row>
    <row r="123" spans="2:2" s="31" customFormat="1" x14ac:dyDescent="0.3">
      <c r="B123" s="38"/>
    </row>
    <row r="124" spans="2:2" s="31" customFormat="1" x14ac:dyDescent="0.3">
      <c r="B124" s="38"/>
    </row>
    <row r="125" spans="2:2" s="31" customFormat="1" x14ac:dyDescent="0.3">
      <c r="B125" s="38"/>
    </row>
    <row r="126" spans="2:2" s="31" customFormat="1" x14ac:dyDescent="0.3">
      <c r="B126" s="38"/>
    </row>
    <row r="127" spans="2:2" s="31" customFormat="1" x14ac:dyDescent="0.3">
      <c r="B127" s="38"/>
    </row>
    <row r="128" spans="2:2" s="31" customFormat="1" x14ac:dyDescent="0.3">
      <c r="B128" s="38"/>
    </row>
    <row r="129" spans="2:2" s="31" customFormat="1" x14ac:dyDescent="0.3">
      <c r="B129" s="38"/>
    </row>
    <row r="130" spans="2:2" s="31" customFormat="1" x14ac:dyDescent="0.3">
      <c r="B130" s="38"/>
    </row>
    <row r="131" spans="2:2" s="31" customFormat="1" x14ac:dyDescent="0.3">
      <c r="B131" s="38"/>
    </row>
    <row r="132" spans="2:2" s="31" customFormat="1" x14ac:dyDescent="0.3">
      <c r="B132" s="38"/>
    </row>
    <row r="133" spans="2:2" s="31" customFormat="1" x14ac:dyDescent="0.3">
      <c r="B133" s="38"/>
    </row>
    <row r="134" spans="2:2" s="31" customFormat="1" x14ac:dyDescent="0.3">
      <c r="B134" s="38"/>
    </row>
    <row r="135" spans="2:2" s="31" customFormat="1" x14ac:dyDescent="0.3">
      <c r="B135" s="38"/>
    </row>
    <row r="136" spans="2:2" s="31" customFormat="1" x14ac:dyDescent="0.3">
      <c r="B136" s="38"/>
    </row>
    <row r="137" spans="2:2" s="31" customFormat="1" x14ac:dyDescent="0.3">
      <c r="B137" s="38"/>
    </row>
    <row r="138" spans="2:2" s="31" customFormat="1" x14ac:dyDescent="0.3">
      <c r="B138" s="38"/>
    </row>
    <row r="139" spans="2:2" s="31" customFormat="1" x14ac:dyDescent="0.3">
      <c r="B139" s="38"/>
    </row>
    <row r="140" spans="2:2" s="31" customFormat="1" x14ac:dyDescent="0.3">
      <c r="B140" s="38"/>
    </row>
    <row r="141" spans="2:2" s="31" customFormat="1" x14ac:dyDescent="0.3">
      <c r="B141" s="38"/>
    </row>
    <row r="142" spans="2:2" s="31" customFormat="1" x14ac:dyDescent="0.3">
      <c r="B142" s="38"/>
    </row>
    <row r="143" spans="2:2" s="31" customFormat="1" x14ac:dyDescent="0.3">
      <c r="B143" s="38"/>
    </row>
    <row r="144" spans="2:2" s="31" customFormat="1" x14ac:dyDescent="0.3">
      <c r="B144" s="38"/>
    </row>
    <row r="145" spans="2:2" s="31" customFormat="1" x14ac:dyDescent="0.3">
      <c r="B145" s="38"/>
    </row>
    <row r="146" spans="2:2" s="31" customFormat="1" x14ac:dyDescent="0.3">
      <c r="B146" s="38"/>
    </row>
    <row r="147" spans="2:2" s="31" customFormat="1" x14ac:dyDescent="0.3">
      <c r="B147" s="38"/>
    </row>
    <row r="148" spans="2:2" s="31" customFormat="1" x14ac:dyDescent="0.3">
      <c r="B148" s="38"/>
    </row>
    <row r="149" spans="2:2" s="31" customFormat="1" x14ac:dyDescent="0.3">
      <c r="B149" s="38"/>
    </row>
    <row r="150" spans="2:2" s="31" customFormat="1" x14ac:dyDescent="0.3">
      <c r="B150" s="38"/>
    </row>
    <row r="151" spans="2:2" s="31" customFormat="1" x14ac:dyDescent="0.3">
      <c r="B151" s="38"/>
    </row>
    <row r="152" spans="2:2" s="31" customFormat="1" x14ac:dyDescent="0.3">
      <c r="B152" s="38"/>
    </row>
    <row r="153" spans="2:2" s="31" customFormat="1" x14ac:dyDescent="0.3">
      <c r="B153" s="38"/>
    </row>
    <row r="154" spans="2:2" s="31" customFormat="1" x14ac:dyDescent="0.3">
      <c r="B154" s="38"/>
    </row>
    <row r="155" spans="2:2" s="31" customFormat="1" x14ac:dyDescent="0.3">
      <c r="B155" s="38"/>
    </row>
    <row r="156" spans="2:2" s="31" customFormat="1" x14ac:dyDescent="0.3">
      <c r="B156" s="38"/>
    </row>
    <row r="157" spans="2:2" s="31" customFormat="1" x14ac:dyDescent="0.3">
      <c r="B157" s="38"/>
    </row>
    <row r="158" spans="2:2" s="31" customFormat="1" x14ac:dyDescent="0.3">
      <c r="B158" s="38"/>
    </row>
    <row r="159" spans="2:2" s="31" customFormat="1" x14ac:dyDescent="0.3">
      <c r="B159" s="38"/>
    </row>
    <row r="160" spans="2:2" s="31" customFormat="1" x14ac:dyDescent="0.3">
      <c r="B160" s="38"/>
    </row>
    <row r="161" spans="2:2" s="31" customFormat="1" x14ac:dyDescent="0.3">
      <c r="B161" s="38"/>
    </row>
    <row r="162" spans="2:2" s="31" customFormat="1" x14ac:dyDescent="0.3">
      <c r="B162" s="38"/>
    </row>
    <row r="163" spans="2:2" s="31" customFormat="1" x14ac:dyDescent="0.3">
      <c r="B163" s="38"/>
    </row>
    <row r="164" spans="2:2" s="31" customFormat="1" x14ac:dyDescent="0.3">
      <c r="B164" s="38"/>
    </row>
    <row r="165" spans="2:2" s="31" customFormat="1" x14ac:dyDescent="0.3">
      <c r="B165" s="38"/>
    </row>
    <row r="166" spans="2:2" s="31" customFormat="1" x14ac:dyDescent="0.3">
      <c r="B166" s="38"/>
    </row>
    <row r="167" spans="2:2" s="31" customFormat="1" x14ac:dyDescent="0.3">
      <c r="B167" s="38"/>
    </row>
    <row r="168" spans="2:2" s="31" customFormat="1" x14ac:dyDescent="0.3">
      <c r="B168" s="38"/>
    </row>
    <row r="169" spans="2:2" s="31" customFormat="1" x14ac:dyDescent="0.3">
      <c r="B169" s="38"/>
    </row>
    <row r="170" spans="2:2" s="31" customFormat="1" x14ac:dyDescent="0.3">
      <c r="B170" s="38"/>
    </row>
    <row r="171" spans="2:2" s="31" customFormat="1" x14ac:dyDescent="0.3">
      <c r="B171" s="38"/>
    </row>
    <row r="172" spans="2:2" s="31" customFormat="1" x14ac:dyDescent="0.3">
      <c r="B172" s="38"/>
    </row>
    <row r="173" spans="2:2" s="31" customFormat="1" x14ac:dyDescent="0.3">
      <c r="B173" s="38"/>
    </row>
    <row r="174" spans="2:2" s="31" customFormat="1" x14ac:dyDescent="0.3">
      <c r="B174" s="38"/>
    </row>
    <row r="175" spans="2:2" s="31" customFormat="1" x14ac:dyDescent="0.3">
      <c r="B175" s="38"/>
    </row>
    <row r="176" spans="2:2" s="31" customFormat="1" x14ac:dyDescent="0.3">
      <c r="B176" s="38"/>
    </row>
    <row r="177" spans="2:2" s="31" customFormat="1" x14ac:dyDescent="0.3">
      <c r="B177" s="32"/>
    </row>
    <row r="178" spans="2:2" s="31" customFormat="1" x14ac:dyDescent="0.3">
      <c r="B178" s="32"/>
    </row>
    <row r="179" spans="2:2" s="31" customFormat="1" x14ac:dyDescent="0.3">
      <c r="B179" s="32"/>
    </row>
    <row r="180" spans="2:2" s="31" customFormat="1" x14ac:dyDescent="0.3">
      <c r="B180" s="32"/>
    </row>
    <row r="181" spans="2:2" s="31" customFormat="1" x14ac:dyDescent="0.3">
      <c r="B181" s="32"/>
    </row>
    <row r="182" spans="2:2" s="31" customFormat="1" x14ac:dyDescent="0.3">
      <c r="B182" s="32"/>
    </row>
    <row r="183" spans="2:2" s="31" customFormat="1" x14ac:dyDescent="0.3">
      <c r="B183" s="32"/>
    </row>
    <row r="184" spans="2:2" s="31" customFormat="1" x14ac:dyDescent="0.3">
      <c r="B184" s="32"/>
    </row>
    <row r="185" spans="2:2" s="31" customFormat="1" x14ac:dyDescent="0.3">
      <c r="B185" s="32"/>
    </row>
    <row r="186" spans="2:2" s="31" customFormat="1" x14ac:dyDescent="0.3">
      <c r="B186" s="32"/>
    </row>
    <row r="187" spans="2:2" s="31" customFormat="1" x14ac:dyDescent="0.3">
      <c r="B187" s="32"/>
    </row>
    <row r="188" spans="2:2" s="31" customFormat="1" x14ac:dyDescent="0.3">
      <c r="B188" s="32"/>
    </row>
    <row r="189" spans="2:2" s="31" customFormat="1" x14ac:dyDescent="0.3">
      <c r="B189" s="32"/>
    </row>
    <row r="190" spans="2:2" s="31" customFormat="1" x14ac:dyDescent="0.3">
      <c r="B190" s="32"/>
    </row>
    <row r="191" spans="2:2" s="31" customFormat="1" x14ac:dyDescent="0.3">
      <c r="B191" s="32"/>
    </row>
    <row r="192" spans="2:2" s="31" customFormat="1" x14ac:dyDescent="0.3">
      <c r="B192" s="32"/>
    </row>
    <row r="193" spans="2:2" s="31" customFormat="1" x14ac:dyDescent="0.3">
      <c r="B193" s="32"/>
    </row>
    <row r="194" spans="2:2" s="31" customFormat="1" x14ac:dyDescent="0.3">
      <c r="B194" s="32"/>
    </row>
    <row r="195" spans="2:2" s="31" customFormat="1" x14ac:dyDescent="0.3">
      <c r="B195" s="32"/>
    </row>
    <row r="196" spans="2:2" s="31" customFormat="1" x14ac:dyDescent="0.3">
      <c r="B196" s="32"/>
    </row>
    <row r="197" spans="2:2" s="31" customFormat="1" x14ac:dyDescent="0.3">
      <c r="B197" s="32"/>
    </row>
    <row r="198" spans="2:2" s="31" customFormat="1" x14ac:dyDescent="0.3">
      <c r="B198" s="32"/>
    </row>
    <row r="199" spans="2:2" s="31" customFormat="1" x14ac:dyDescent="0.3">
      <c r="B199" s="32"/>
    </row>
    <row r="200" spans="2:2" s="31" customFormat="1" x14ac:dyDescent="0.3">
      <c r="B200" s="32"/>
    </row>
    <row r="201" spans="2:2" s="31" customFormat="1" x14ac:dyDescent="0.3">
      <c r="B201" s="32"/>
    </row>
    <row r="202" spans="2:2" s="31" customFormat="1" x14ac:dyDescent="0.3">
      <c r="B202" s="32"/>
    </row>
    <row r="203" spans="2:2" s="31" customFormat="1" x14ac:dyDescent="0.3">
      <c r="B203" s="32"/>
    </row>
    <row r="204" spans="2:2" s="31" customFormat="1" x14ac:dyDescent="0.3">
      <c r="B204" s="32"/>
    </row>
    <row r="205" spans="2:2" s="31" customFormat="1" x14ac:dyDescent="0.3">
      <c r="B205" s="32"/>
    </row>
    <row r="206" spans="2:2" s="31" customFormat="1" x14ac:dyDescent="0.3">
      <c r="B206" s="32"/>
    </row>
    <row r="207" spans="2:2" s="31" customFormat="1" x14ac:dyDescent="0.3">
      <c r="B207" s="32"/>
    </row>
    <row r="208" spans="2:2" s="31" customFormat="1" x14ac:dyDescent="0.3">
      <c r="B208" s="32"/>
    </row>
    <row r="209" spans="2:2" s="31" customFormat="1" x14ac:dyDescent="0.3">
      <c r="B209" s="32"/>
    </row>
    <row r="210" spans="2:2" s="31" customFormat="1" x14ac:dyDescent="0.3">
      <c r="B210" s="32"/>
    </row>
    <row r="211" spans="2:2" s="31" customFormat="1" x14ac:dyDescent="0.3">
      <c r="B211" s="32"/>
    </row>
    <row r="212" spans="2:2" s="31" customFormat="1" x14ac:dyDescent="0.3">
      <c r="B212" s="32"/>
    </row>
    <row r="213" spans="2:2" s="31" customFormat="1" x14ac:dyDescent="0.3">
      <c r="B213" s="32"/>
    </row>
    <row r="214" spans="2:2" s="31" customFormat="1" x14ac:dyDescent="0.3">
      <c r="B214" s="32"/>
    </row>
    <row r="215" spans="2:2" s="31" customFormat="1" x14ac:dyDescent="0.3">
      <c r="B215" s="32"/>
    </row>
    <row r="216" spans="2:2" s="31" customFormat="1" x14ac:dyDescent="0.3">
      <c r="B216" s="32"/>
    </row>
    <row r="217" spans="2:2" s="31" customFormat="1" x14ac:dyDescent="0.3">
      <c r="B217" s="32"/>
    </row>
    <row r="218" spans="2:2" s="31" customFormat="1" x14ac:dyDescent="0.3">
      <c r="B218" s="32"/>
    </row>
    <row r="219" spans="2:2" s="31" customFormat="1" x14ac:dyDescent="0.3">
      <c r="B219" s="32"/>
    </row>
    <row r="220" spans="2:2" s="31" customFormat="1" x14ac:dyDescent="0.3">
      <c r="B220" s="32"/>
    </row>
    <row r="221" spans="2:2" s="31" customFormat="1" x14ac:dyDescent="0.3">
      <c r="B221" s="32"/>
    </row>
    <row r="222" spans="2:2" s="31" customFormat="1" x14ac:dyDescent="0.3">
      <c r="B222" s="32"/>
    </row>
    <row r="223" spans="2:2" s="31" customFormat="1" x14ac:dyDescent="0.3">
      <c r="B223" s="32"/>
    </row>
    <row r="224" spans="2:2" s="31" customFormat="1" x14ac:dyDescent="0.3">
      <c r="B224" s="32"/>
    </row>
    <row r="225" spans="2:2" s="31" customFormat="1" x14ac:dyDescent="0.3">
      <c r="B225" s="32"/>
    </row>
    <row r="226" spans="2:2" s="31" customFormat="1" x14ac:dyDescent="0.3">
      <c r="B226" s="32"/>
    </row>
    <row r="227" spans="2:2" s="31" customFormat="1" x14ac:dyDescent="0.3">
      <c r="B227" s="32"/>
    </row>
    <row r="228" spans="2:2" s="31" customFormat="1" x14ac:dyDescent="0.3">
      <c r="B228" s="32"/>
    </row>
    <row r="229" spans="2:2" s="31" customFormat="1" x14ac:dyDescent="0.3">
      <c r="B229" s="32"/>
    </row>
    <row r="230" spans="2:2" s="31" customFormat="1" x14ac:dyDescent="0.3">
      <c r="B230" s="32"/>
    </row>
    <row r="231" spans="2:2" s="31" customFormat="1" x14ac:dyDescent="0.3">
      <c r="B231" s="32"/>
    </row>
    <row r="232" spans="2:2" s="31" customFormat="1" x14ac:dyDescent="0.3">
      <c r="B232" s="32"/>
    </row>
    <row r="233" spans="2:2" s="31" customFormat="1" x14ac:dyDescent="0.3">
      <c r="B233" s="32"/>
    </row>
    <row r="234" spans="2:2" s="31" customFormat="1" x14ac:dyDescent="0.3">
      <c r="B234" s="32"/>
    </row>
    <row r="235" spans="2:2" s="31" customFormat="1" x14ac:dyDescent="0.3">
      <c r="B235" s="32"/>
    </row>
    <row r="236" spans="2:2" s="31" customFormat="1" x14ac:dyDescent="0.3">
      <c r="B236" s="32"/>
    </row>
    <row r="237" spans="2:2" s="31" customFormat="1" x14ac:dyDescent="0.3">
      <c r="B237" s="32"/>
    </row>
    <row r="238" spans="2:2" s="31" customFormat="1" x14ac:dyDescent="0.3">
      <c r="B238" s="32"/>
    </row>
    <row r="239" spans="2:2" s="31" customFormat="1" x14ac:dyDescent="0.3">
      <c r="B239" s="32"/>
    </row>
    <row r="240" spans="2:2" s="31" customFormat="1" x14ac:dyDescent="0.3">
      <c r="B240" s="32"/>
    </row>
    <row r="241" spans="2:2" s="31" customFormat="1" x14ac:dyDescent="0.3">
      <c r="B241" s="32"/>
    </row>
    <row r="242" spans="2:2" s="31" customFormat="1" x14ac:dyDescent="0.3">
      <c r="B242" s="32"/>
    </row>
    <row r="243" spans="2:2" s="31" customFormat="1" x14ac:dyDescent="0.3">
      <c r="B243" s="32"/>
    </row>
    <row r="244" spans="2:2" s="31" customFormat="1" x14ac:dyDescent="0.3">
      <c r="B244" s="32"/>
    </row>
    <row r="245" spans="2:2" s="31" customFormat="1" x14ac:dyDescent="0.3">
      <c r="B245" s="32"/>
    </row>
    <row r="246" spans="2:2" s="31" customFormat="1" x14ac:dyDescent="0.3">
      <c r="B246" s="32"/>
    </row>
    <row r="247" spans="2:2" s="31" customFormat="1" x14ac:dyDescent="0.3">
      <c r="B247" s="32"/>
    </row>
    <row r="248" spans="2:2" s="31" customFormat="1" x14ac:dyDescent="0.3">
      <c r="B248" s="32"/>
    </row>
    <row r="249" spans="2:2" s="31" customFormat="1" x14ac:dyDescent="0.3">
      <c r="B249" s="32"/>
    </row>
    <row r="250" spans="2:2" s="31" customFormat="1" x14ac:dyDescent="0.3">
      <c r="B250" s="32"/>
    </row>
    <row r="251" spans="2:2" s="31" customFormat="1" x14ac:dyDescent="0.3">
      <c r="B251" s="32"/>
    </row>
    <row r="252" spans="2:2" s="31" customFormat="1" x14ac:dyDescent="0.3">
      <c r="B252" s="32"/>
    </row>
    <row r="253" spans="2:2" s="31" customFormat="1" x14ac:dyDescent="0.3">
      <c r="B253" s="32"/>
    </row>
    <row r="254" spans="2:2" s="31" customFormat="1" x14ac:dyDescent="0.3">
      <c r="B254" s="32"/>
    </row>
    <row r="255" spans="2:2" s="31" customFormat="1" x14ac:dyDescent="0.3">
      <c r="B255" s="32"/>
    </row>
    <row r="256" spans="2:2" s="31" customFormat="1" x14ac:dyDescent="0.3">
      <c r="B256" s="32"/>
    </row>
    <row r="257" spans="2:2" s="31" customFormat="1" x14ac:dyDescent="0.3">
      <c r="B257" s="32"/>
    </row>
    <row r="258" spans="2:2" s="31" customFormat="1" x14ac:dyDescent="0.3">
      <c r="B258" s="32"/>
    </row>
    <row r="259" spans="2:2" s="31" customFormat="1" x14ac:dyDescent="0.3">
      <c r="B259" s="32"/>
    </row>
    <row r="260" spans="2:2" s="31" customFormat="1" x14ac:dyDescent="0.3">
      <c r="B260" s="32"/>
    </row>
    <row r="261" spans="2:2" s="31" customFormat="1" x14ac:dyDescent="0.3">
      <c r="B261" s="32"/>
    </row>
    <row r="262" spans="2:2" s="31" customFormat="1" x14ac:dyDescent="0.3">
      <c r="B262" s="32"/>
    </row>
    <row r="263" spans="2:2" s="31" customFormat="1" x14ac:dyDescent="0.3">
      <c r="B263" s="32"/>
    </row>
    <row r="264" spans="2:2" s="31" customFormat="1" x14ac:dyDescent="0.3">
      <c r="B264" s="32"/>
    </row>
    <row r="265" spans="2:2" s="31" customFormat="1" x14ac:dyDescent="0.3">
      <c r="B265" s="32"/>
    </row>
    <row r="266" spans="2:2" s="31" customFormat="1" x14ac:dyDescent="0.3">
      <c r="B266" s="32"/>
    </row>
    <row r="267" spans="2:2" s="31" customFormat="1" x14ac:dyDescent="0.3">
      <c r="B267" s="32"/>
    </row>
    <row r="268" spans="2:2" s="31" customFormat="1" x14ac:dyDescent="0.3">
      <c r="B268" s="32"/>
    </row>
    <row r="269" spans="2:2" s="31" customFormat="1" x14ac:dyDescent="0.3">
      <c r="B269" s="32"/>
    </row>
    <row r="270" spans="2:2" s="31" customFormat="1" x14ac:dyDescent="0.3">
      <c r="B270" s="32"/>
    </row>
    <row r="271" spans="2:2" s="31" customFormat="1" x14ac:dyDescent="0.3">
      <c r="B271" s="32"/>
    </row>
    <row r="272" spans="2:2" s="31" customFormat="1" x14ac:dyDescent="0.3">
      <c r="B272" s="32"/>
    </row>
    <row r="273" spans="2:2" s="31" customFormat="1" x14ac:dyDescent="0.3">
      <c r="B273" s="32"/>
    </row>
    <row r="274" spans="2:2" s="31" customFormat="1" x14ac:dyDescent="0.3">
      <c r="B274" s="32"/>
    </row>
    <row r="275" spans="2:2" s="31" customFormat="1" x14ac:dyDescent="0.3">
      <c r="B275" s="32"/>
    </row>
    <row r="276" spans="2:2" s="31" customFormat="1" x14ac:dyDescent="0.3">
      <c r="B276" s="32"/>
    </row>
    <row r="277" spans="2:2" s="31" customFormat="1" x14ac:dyDescent="0.3">
      <c r="B277" s="32"/>
    </row>
    <row r="278" spans="2:2" s="31" customFormat="1" x14ac:dyDescent="0.3">
      <c r="B278" s="32"/>
    </row>
    <row r="279" spans="2:2" s="31" customFormat="1" x14ac:dyDescent="0.3">
      <c r="B279" s="32"/>
    </row>
    <row r="280" spans="2:2" s="31" customFormat="1" x14ac:dyDescent="0.3">
      <c r="B280" s="32"/>
    </row>
    <row r="281" spans="2:2" s="31" customFormat="1" x14ac:dyDescent="0.3">
      <c r="B281" s="32"/>
    </row>
    <row r="282" spans="2:2" s="31" customFormat="1" x14ac:dyDescent="0.3">
      <c r="B282" s="32"/>
    </row>
    <row r="283" spans="2:2" s="31" customFormat="1" x14ac:dyDescent="0.3">
      <c r="B283" s="32"/>
    </row>
    <row r="284" spans="2:2" s="31" customFormat="1" x14ac:dyDescent="0.3">
      <c r="B284" s="32"/>
    </row>
    <row r="285" spans="2:2" s="31" customFormat="1" x14ac:dyDescent="0.3">
      <c r="B285" s="32"/>
    </row>
    <row r="286" spans="2:2" s="31" customFormat="1" x14ac:dyDescent="0.3">
      <c r="B286" s="32"/>
    </row>
    <row r="287" spans="2:2" s="31" customFormat="1" x14ac:dyDescent="0.3">
      <c r="B287" s="32"/>
    </row>
    <row r="288" spans="2:2" s="31" customFormat="1" x14ac:dyDescent="0.3">
      <c r="B288" s="32"/>
    </row>
    <row r="289" spans="2:2" s="31" customFormat="1" x14ac:dyDescent="0.3">
      <c r="B289" s="32"/>
    </row>
    <row r="290" spans="2:2" s="31" customFormat="1" x14ac:dyDescent="0.3">
      <c r="B290" s="32"/>
    </row>
    <row r="291" spans="2:2" s="31" customFormat="1" x14ac:dyDescent="0.3">
      <c r="B291" s="32"/>
    </row>
    <row r="292" spans="2:2" s="31" customFormat="1" x14ac:dyDescent="0.3">
      <c r="B292" s="32"/>
    </row>
    <row r="293" spans="2:2" s="31" customFormat="1" x14ac:dyDescent="0.3">
      <c r="B293" s="32"/>
    </row>
    <row r="294" spans="2:2" s="31" customFormat="1" x14ac:dyDescent="0.3">
      <c r="B294" s="32"/>
    </row>
    <row r="295" spans="2:2" s="31" customFormat="1" x14ac:dyDescent="0.3">
      <c r="B295" s="32"/>
    </row>
    <row r="296" spans="2:2" s="31" customFormat="1" x14ac:dyDescent="0.3">
      <c r="B296" s="32"/>
    </row>
    <row r="297" spans="2:2" s="31" customFormat="1" x14ac:dyDescent="0.3">
      <c r="B297" s="32"/>
    </row>
    <row r="298" spans="2:2" s="31" customFormat="1" x14ac:dyDescent="0.3">
      <c r="B298" s="32"/>
    </row>
    <row r="299" spans="2:2" s="31" customFormat="1" x14ac:dyDescent="0.3">
      <c r="B299" s="32"/>
    </row>
    <row r="300" spans="2:2" s="31" customFormat="1" x14ac:dyDescent="0.3">
      <c r="B300" s="32"/>
    </row>
    <row r="301" spans="2:2" s="31" customFormat="1" x14ac:dyDescent="0.3">
      <c r="B301" s="32"/>
    </row>
    <row r="302" spans="2:2" s="31" customFormat="1" x14ac:dyDescent="0.3">
      <c r="B302" s="32"/>
    </row>
    <row r="303" spans="2:2" s="31" customFormat="1" x14ac:dyDescent="0.3">
      <c r="B303" s="32"/>
    </row>
    <row r="304" spans="2:2" s="31" customFormat="1" x14ac:dyDescent="0.3">
      <c r="B304" s="32"/>
    </row>
    <row r="305" spans="2:2" s="31" customFormat="1" x14ac:dyDescent="0.3">
      <c r="B305" s="32"/>
    </row>
    <row r="306" spans="2:2" s="31" customFormat="1" x14ac:dyDescent="0.3">
      <c r="B306" s="32"/>
    </row>
    <row r="307" spans="2:2" s="31" customFormat="1" x14ac:dyDescent="0.3">
      <c r="B307" s="32"/>
    </row>
    <row r="308" spans="2:2" s="31" customFormat="1" x14ac:dyDescent="0.3">
      <c r="B308" s="32"/>
    </row>
    <row r="309" spans="2:2" s="31" customFormat="1" x14ac:dyDescent="0.3">
      <c r="B309" s="32"/>
    </row>
    <row r="310" spans="2:2" s="31" customFormat="1" x14ac:dyDescent="0.3">
      <c r="B310" s="32"/>
    </row>
    <row r="311" spans="2:2" s="31" customFormat="1" x14ac:dyDescent="0.3">
      <c r="B311" s="32"/>
    </row>
    <row r="312" spans="2:2" s="31" customFormat="1" x14ac:dyDescent="0.3">
      <c r="B312" s="32"/>
    </row>
    <row r="313" spans="2:2" s="31" customFormat="1" x14ac:dyDescent="0.3">
      <c r="B313" s="32"/>
    </row>
    <row r="314" spans="2:2" s="31" customFormat="1" x14ac:dyDescent="0.3">
      <c r="B314" s="32"/>
    </row>
    <row r="315" spans="2:2" s="31" customFormat="1" x14ac:dyDescent="0.3">
      <c r="B315" s="32"/>
    </row>
    <row r="316" spans="2:2" s="31" customFormat="1" x14ac:dyDescent="0.3">
      <c r="B316" s="32"/>
    </row>
    <row r="317" spans="2:2" s="31" customFormat="1" x14ac:dyDescent="0.3">
      <c r="B317" s="32"/>
    </row>
    <row r="318" spans="2:2" s="31" customFormat="1" x14ac:dyDescent="0.3">
      <c r="B318" s="32"/>
    </row>
    <row r="319" spans="2:2" s="31" customFormat="1" x14ac:dyDescent="0.3">
      <c r="B319" s="32"/>
    </row>
    <row r="320" spans="2:2" s="31" customFormat="1" x14ac:dyDescent="0.3">
      <c r="B320" s="32"/>
    </row>
    <row r="321" spans="2:2" s="31" customFormat="1" x14ac:dyDescent="0.3">
      <c r="B321" s="32"/>
    </row>
    <row r="322" spans="2:2" s="31" customFormat="1" x14ac:dyDescent="0.3">
      <c r="B322" s="32"/>
    </row>
    <row r="323" spans="2:2" s="31" customFormat="1" x14ac:dyDescent="0.3">
      <c r="B323" s="32"/>
    </row>
    <row r="324" spans="2:2" s="31" customFormat="1" x14ac:dyDescent="0.3">
      <c r="B324" s="32"/>
    </row>
    <row r="325" spans="2:2" s="31" customFormat="1" x14ac:dyDescent="0.3">
      <c r="B325" s="32"/>
    </row>
    <row r="326" spans="2:2" s="31" customFormat="1" x14ac:dyDescent="0.3">
      <c r="B326" s="32"/>
    </row>
    <row r="327" spans="2:2" s="31" customFormat="1" x14ac:dyDescent="0.3">
      <c r="B327" s="32"/>
    </row>
    <row r="328" spans="2:2" s="31" customFormat="1" x14ac:dyDescent="0.3">
      <c r="B328" s="32"/>
    </row>
    <row r="329" spans="2:2" s="31" customFormat="1" x14ac:dyDescent="0.3">
      <c r="B329" s="32"/>
    </row>
    <row r="330" spans="2:2" s="31" customFormat="1" x14ac:dyDescent="0.3">
      <c r="B330" s="32"/>
    </row>
    <row r="331" spans="2:2" s="31" customFormat="1" x14ac:dyDescent="0.3">
      <c r="B331" s="32"/>
    </row>
    <row r="332" spans="2:2" s="31" customFormat="1" x14ac:dyDescent="0.3">
      <c r="B332" s="32"/>
    </row>
    <row r="333" spans="2:2" s="31" customFormat="1" x14ac:dyDescent="0.3">
      <c r="B333" s="32"/>
    </row>
    <row r="334" spans="2:2" s="31" customFormat="1" x14ac:dyDescent="0.3">
      <c r="B334" s="32"/>
    </row>
    <row r="335" spans="2:2" s="31" customFormat="1" x14ac:dyDescent="0.3">
      <c r="B335" s="32"/>
    </row>
    <row r="336" spans="2:2" s="31" customFormat="1" x14ac:dyDescent="0.3">
      <c r="B336" s="32"/>
    </row>
    <row r="337" spans="2:2" s="31" customFormat="1" x14ac:dyDescent="0.3">
      <c r="B337" s="32"/>
    </row>
    <row r="338" spans="2:2" s="31" customFormat="1" x14ac:dyDescent="0.3">
      <c r="B338" s="32"/>
    </row>
    <row r="339" spans="2:2" s="31" customFormat="1" x14ac:dyDescent="0.3">
      <c r="B339" s="32"/>
    </row>
    <row r="340" spans="2:2" s="31" customFormat="1" x14ac:dyDescent="0.3">
      <c r="B340" s="32"/>
    </row>
    <row r="341" spans="2:2" s="31" customFormat="1" x14ac:dyDescent="0.3">
      <c r="B341" s="32"/>
    </row>
    <row r="342" spans="2:2" s="31" customFormat="1" x14ac:dyDescent="0.3">
      <c r="B342" s="32"/>
    </row>
    <row r="343" spans="2:2" s="31" customFormat="1" x14ac:dyDescent="0.3">
      <c r="B343" s="32"/>
    </row>
    <row r="344" spans="2:2" s="31" customFormat="1" x14ac:dyDescent="0.3">
      <c r="B344" s="32"/>
    </row>
    <row r="345" spans="2:2" s="31" customFormat="1" x14ac:dyDescent="0.3">
      <c r="B345" s="32"/>
    </row>
    <row r="346" spans="2:2" s="31" customFormat="1" x14ac:dyDescent="0.3">
      <c r="B346" s="32"/>
    </row>
    <row r="347" spans="2:2" s="31" customFormat="1" x14ac:dyDescent="0.3">
      <c r="B347" s="32"/>
    </row>
    <row r="348" spans="2:2" s="31" customFormat="1" x14ac:dyDescent="0.3">
      <c r="B348" s="32"/>
    </row>
    <row r="349" spans="2:2" s="31" customFormat="1" x14ac:dyDescent="0.3">
      <c r="B349" s="32"/>
    </row>
    <row r="350" spans="2:2" s="31" customFormat="1" x14ac:dyDescent="0.3">
      <c r="B350" s="32"/>
    </row>
    <row r="351" spans="2:2" s="31" customFormat="1" x14ac:dyDescent="0.3">
      <c r="B351" s="32"/>
    </row>
    <row r="352" spans="2:2" s="31" customFormat="1" x14ac:dyDescent="0.3">
      <c r="B352" s="32"/>
    </row>
    <row r="353" spans="2:2" s="31" customFormat="1" x14ac:dyDescent="0.3">
      <c r="B353" s="32"/>
    </row>
    <row r="354" spans="2:2" s="31" customFormat="1" x14ac:dyDescent="0.3">
      <c r="B354" s="32"/>
    </row>
    <row r="355" spans="2:2" s="31" customFormat="1" x14ac:dyDescent="0.3">
      <c r="B355" s="32"/>
    </row>
    <row r="356" spans="2:2" s="31" customFormat="1" x14ac:dyDescent="0.3">
      <c r="B356" s="32"/>
    </row>
    <row r="357" spans="2:2" s="31" customFormat="1" x14ac:dyDescent="0.3">
      <c r="B357" s="32"/>
    </row>
    <row r="358" spans="2:2" s="31" customFormat="1" x14ac:dyDescent="0.3">
      <c r="B358" s="32"/>
    </row>
    <row r="359" spans="2:2" s="31" customFormat="1" x14ac:dyDescent="0.3">
      <c r="B359" s="32"/>
    </row>
    <row r="360" spans="2:2" s="31" customFormat="1" x14ac:dyDescent="0.3">
      <c r="B360" s="32"/>
    </row>
    <row r="361" spans="2:2" s="31" customFormat="1" x14ac:dyDescent="0.3">
      <c r="B361" s="32"/>
    </row>
    <row r="362" spans="2:2" s="31" customFormat="1" x14ac:dyDescent="0.3">
      <c r="B362" s="32"/>
    </row>
    <row r="363" spans="2:2" s="31" customFormat="1" x14ac:dyDescent="0.3">
      <c r="B363" s="32"/>
    </row>
    <row r="364" spans="2:2" s="31" customFormat="1" x14ac:dyDescent="0.3">
      <c r="B364" s="32"/>
    </row>
    <row r="365" spans="2:2" s="31" customFormat="1" x14ac:dyDescent="0.3">
      <c r="B365" s="32"/>
    </row>
    <row r="366" spans="2:2" s="31" customFormat="1" x14ac:dyDescent="0.3">
      <c r="B366" s="32"/>
    </row>
    <row r="367" spans="2:2" s="31" customFormat="1" x14ac:dyDescent="0.3">
      <c r="B367" s="32"/>
    </row>
    <row r="368" spans="2:2" s="31" customFormat="1" x14ac:dyDescent="0.3">
      <c r="B368" s="32"/>
    </row>
    <row r="369" spans="2:2" s="31" customFormat="1" x14ac:dyDescent="0.3">
      <c r="B369" s="32"/>
    </row>
    <row r="370" spans="2:2" s="31" customFormat="1" x14ac:dyDescent="0.3">
      <c r="B370" s="32"/>
    </row>
    <row r="371" spans="2:2" s="31" customFormat="1" x14ac:dyDescent="0.3">
      <c r="B371" s="32"/>
    </row>
    <row r="372" spans="2:2" s="31" customFormat="1" x14ac:dyDescent="0.3">
      <c r="B372" s="32"/>
    </row>
    <row r="373" spans="2:2" s="31" customFormat="1" x14ac:dyDescent="0.3">
      <c r="B373" s="32"/>
    </row>
    <row r="374" spans="2:2" s="31" customFormat="1" x14ac:dyDescent="0.3">
      <c r="B374" s="32"/>
    </row>
    <row r="375" spans="2:2" s="31" customFormat="1" x14ac:dyDescent="0.3">
      <c r="B375" s="32"/>
    </row>
    <row r="376" spans="2:2" s="31" customFormat="1" x14ac:dyDescent="0.3">
      <c r="B376" s="32"/>
    </row>
    <row r="377" spans="2:2" s="31" customFormat="1" x14ac:dyDescent="0.3">
      <c r="B377" s="32"/>
    </row>
    <row r="378" spans="2:2" s="31" customFormat="1" x14ac:dyDescent="0.3">
      <c r="B378" s="32"/>
    </row>
    <row r="379" spans="2:2" s="31" customFormat="1" x14ac:dyDescent="0.3">
      <c r="B379" s="32"/>
    </row>
    <row r="380" spans="2:2" s="31" customFormat="1" x14ac:dyDescent="0.3">
      <c r="B380" s="32"/>
    </row>
    <row r="381" spans="2:2" s="31" customFormat="1" x14ac:dyDescent="0.3">
      <c r="B381" s="32"/>
    </row>
    <row r="382" spans="2:2" s="31" customFormat="1" x14ac:dyDescent="0.3">
      <c r="B382" s="32"/>
    </row>
    <row r="383" spans="2:2" s="31" customFormat="1" x14ac:dyDescent="0.3">
      <c r="B383" s="32"/>
    </row>
    <row r="384" spans="2:2" s="31" customFormat="1" x14ac:dyDescent="0.3">
      <c r="B384" s="32"/>
    </row>
    <row r="385" spans="2:2" s="31" customFormat="1" x14ac:dyDescent="0.3">
      <c r="B385" s="32"/>
    </row>
    <row r="386" spans="2:2" s="31" customFormat="1" x14ac:dyDescent="0.3">
      <c r="B386" s="32"/>
    </row>
    <row r="387" spans="2:2" s="31" customFormat="1" x14ac:dyDescent="0.3">
      <c r="B387" s="32"/>
    </row>
    <row r="388" spans="2:2" s="31" customFormat="1" x14ac:dyDescent="0.3">
      <c r="B388" s="32"/>
    </row>
    <row r="389" spans="2:2" s="31" customFormat="1" x14ac:dyDescent="0.3">
      <c r="B389" s="32"/>
    </row>
    <row r="390" spans="2:2" s="31" customFormat="1" x14ac:dyDescent="0.3">
      <c r="B390" s="32"/>
    </row>
    <row r="391" spans="2:2" s="31" customFormat="1" x14ac:dyDescent="0.3">
      <c r="B391" s="32"/>
    </row>
    <row r="392" spans="2:2" s="31" customFormat="1" x14ac:dyDescent="0.3">
      <c r="B392" s="32"/>
    </row>
    <row r="393" spans="2:2" s="31" customFormat="1" x14ac:dyDescent="0.3">
      <c r="B393" s="32"/>
    </row>
    <row r="394" spans="2:2" s="31" customFormat="1" x14ac:dyDescent="0.3">
      <c r="B394" s="32"/>
    </row>
    <row r="395" spans="2:2" s="31" customFormat="1" x14ac:dyDescent="0.3">
      <c r="B395" s="32"/>
    </row>
    <row r="396" spans="2:2" s="31" customFormat="1" x14ac:dyDescent="0.3">
      <c r="B396" s="32"/>
    </row>
    <row r="397" spans="2:2" s="31" customFormat="1" x14ac:dyDescent="0.3">
      <c r="B397" s="32"/>
    </row>
    <row r="398" spans="2:2" s="31" customFormat="1" x14ac:dyDescent="0.3">
      <c r="B398" s="32"/>
    </row>
    <row r="399" spans="2:2" s="31" customFormat="1" x14ac:dyDescent="0.3">
      <c r="B399" s="32"/>
    </row>
    <row r="400" spans="2:2" s="31" customFormat="1" x14ac:dyDescent="0.3">
      <c r="B400" s="32"/>
    </row>
    <row r="401" spans="2:2" s="31" customFormat="1" x14ac:dyDescent="0.3">
      <c r="B401" s="32"/>
    </row>
    <row r="402" spans="2:2" s="31" customFormat="1" x14ac:dyDescent="0.3">
      <c r="B402" s="32"/>
    </row>
    <row r="403" spans="2:2" s="31" customFormat="1" x14ac:dyDescent="0.3">
      <c r="B403" s="32"/>
    </row>
    <row r="404" spans="2:2" s="31" customFormat="1" x14ac:dyDescent="0.3">
      <c r="B404" s="32"/>
    </row>
    <row r="405" spans="2:2" s="31" customFormat="1" x14ac:dyDescent="0.3">
      <c r="B405" s="32"/>
    </row>
    <row r="406" spans="2:2" s="31" customFormat="1" x14ac:dyDescent="0.3">
      <c r="B406" s="32"/>
    </row>
    <row r="407" spans="2:2" s="31" customFormat="1" x14ac:dyDescent="0.3">
      <c r="B407" s="32"/>
    </row>
    <row r="408" spans="2:2" s="31" customFormat="1" x14ac:dyDescent="0.3">
      <c r="B408" s="32"/>
    </row>
    <row r="409" spans="2:2" s="31" customFormat="1" x14ac:dyDescent="0.3">
      <c r="B409" s="32"/>
    </row>
    <row r="410" spans="2:2" s="31" customFormat="1" x14ac:dyDescent="0.3">
      <c r="B410" s="32"/>
    </row>
    <row r="411" spans="2:2" s="31" customFormat="1" x14ac:dyDescent="0.3">
      <c r="B411" s="32"/>
    </row>
    <row r="412" spans="2:2" s="31" customFormat="1" x14ac:dyDescent="0.3">
      <c r="B412" s="32"/>
    </row>
    <row r="413" spans="2:2" s="31" customFormat="1" x14ac:dyDescent="0.3">
      <c r="B413" s="32"/>
    </row>
    <row r="414" spans="2:2" s="31" customFormat="1" x14ac:dyDescent="0.3">
      <c r="B414" s="32"/>
    </row>
    <row r="415" spans="2:2" s="31" customFormat="1" x14ac:dyDescent="0.3">
      <c r="B415" s="32"/>
    </row>
    <row r="416" spans="2:2" s="31" customFormat="1" x14ac:dyDescent="0.3">
      <c r="B416" s="32"/>
    </row>
    <row r="417" spans="2:2" s="31" customFormat="1" x14ac:dyDescent="0.3">
      <c r="B417" s="32"/>
    </row>
    <row r="418" spans="2:2" s="31" customFormat="1" x14ac:dyDescent="0.3">
      <c r="B418" s="32"/>
    </row>
    <row r="419" spans="2:2" s="31" customFormat="1" x14ac:dyDescent="0.3">
      <c r="B419" s="32"/>
    </row>
    <row r="420" spans="2:2" s="31" customFormat="1" x14ac:dyDescent="0.3">
      <c r="B420" s="32"/>
    </row>
    <row r="421" spans="2:2" s="31" customFormat="1" x14ac:dyDescent="0.3">
      <c r="B421" s="32"/>
    </row>
    <row r="422" spans="2:2" s="31" customFormat="1" x14ac:dyDescent="0.3">
      <c r="B422" s="32"/>
    </row>
    <row r="423" spans="2:2" s="31" customFormat="1" x14ac:dyDescent="0.3">
      <c r="B423" s="32"/>
    </row>
    <row r="424" spans="2:2" s="31" customFormat="1" x14ac:dyDescent="0.3">
      <c r="B424" s="32"/>
    </row>
    <row r="425" spans="2:2" s="31" customFormat="1" x14ac:dyDescent="0.3">
      <c r="B425" s="32"/>
    </row>
    <row r="426" spans="2:2" s="31" customFormat="1" x14ac:dyDescent="0.3">
      <c r="B426" s="32"/>
    </row>
    <row r="427" spans="2:2" s="31" customFormat="1" x14ac:dyDescent="0.3">
      <c r="B427" s="32"/>
    </row>
    <row r="428" spans="2:2" s="31" customFormat="1" x14ac:dyDescent="0.3">
      <c r="B428" s="32"/>
    </row>
    <row r="429" spans="2:2" s="31" customFormat="1" x14ac:dyDescent="0.3">
      <c r="B429" s="32"/>
    </row>
    <row r="430" spans="2:2" s="31" customFormat="1" x14ac:dyDescent="0.3">
      <c r="B430" s="32"/>
    </row>
    <row r="431" spans="2:2" s="31" customFormat="1" x14ac:dyDescent="0.3">
      <c r="B431" s="32"/>
    </row>
    <row r="432" spans="2:2" s="31" customFormat="1" x14ac:dyDescent="0.3">
      <c r="B432" s="32"/>
    </row>
    <row r="433" spans="2:2" s="31" customFormat="1" x14ac:dyDescent="0.3">
      <c r="B433" s="32"/>
    </row>
    <row r="434" spans="2:2" s="31" customFormat="1" x14ac:dyDescent="0.3">
      <c r="B434" s="32"/>
    </row>
    <row r="435" spans="2:2" s="31" customFormat="1" x14ac:dyDescent="0.3">
      <c r="B435" s="32"/>
    </row>
    <row r="436" spans="2:2" s="31" customFormat="1" x14ac:dyDescent="0.3">
      <c r="B436" s="32"/>
    </row>
    <row r="437" spans="2:2" s="31" customFormat="1" x14ac:dyDescent="0.3">
      <c r="B437" s="32"/>
    </row>
    <row r="438" spans="2:2" s="31" customFormat="1" x14ac:dyDescent="0.3">
      <c r="B438" s="32"/>
    </row>
    <row r="439" spans="2:2" s="31" customFormat="1" x14ac:dyDescent="0.3">
      <c r="B439" s="32"/>
    </row>
    <row r="440" spans="2:2" s="31" customFormat="1" x14ac:dyDescent="0.3">
      <c r="B440" s="32"/>
    </row>
    <row r="441" spans="2:2" s="31" customFormat="1" x14ac:dyDescent="0.3">
      <c r="B441" s="32"/>
    </row>
    <row r="442" spans="2:2" s="31" customFormat="1" x14ac:dyDescent="0.3">
      <c r="B442" s="32"/>
    </row>
    <row r="443" spans="2:2" s="31" customFormat="1" x14ac:dyDescent="0.3">
      <c r="B443" s="32"/>
    </row>
    <row r="444" spans="2:2" s="31" customFormat="1" x14ac:dyDescent="0.3">
      <c r="B444" s="32"/>
    </row>
    <row r="445" spans="2:2" s="31" customFormat="1" x14ac:dyDescent="0.3">
      <c r="B445" s="32"/>
    </row>
    <row r="446" spans="2:2" s="31" customFormat="1" x14ac:dyDescent="0.3">
      <c r="B446" s="32"/>
    </row>
    <row r="447" spans="2:2" s="31" customFormat="1" x14ac:dyDescent="0.3">
      <c r="B447" s="32"/>
    </row>
    <row r="448" spans="2:2" s="31" customFormat="1" x14ac:dyDescent="0.3">
      <c r="B448" s="32"/>
    </row>
    <row r="449" spans="2:2" s="31" customFormat="1" x14ac:dyDescent="0.3">
      <c r="B449" s="32"/>
    </row>
    <row r="450" spans="2:2" s="31" customFormat="1" x14ac:dyDescent="0.3">
      <c r="B450" s="32"/>
    </row>
    <row r="451" spans="2:2" s="31" customFormat="1" x14ac:dyDescent="0.3">
      <c r="B451" s="32"/>
    </row>
    <row r="452" spans="2:2" s="31" customFormat="1" x14ac:dyDescent="0.3">
      <c r="B452" s="32"/>
    </row>
    <row r="453" spans="2:2" s="31" customFormat="1" x14ac:dyDescent="0.3">
      <c r="B453" s="32"/>
    </row>
    <row r="454" spans="2:2" s="31" customFormat="1" x14ac:dyDescent="0.3">
      <c r="B454" s="32"/>
    </row>
    <row r="455" spans="2:2" s="31" customFormat="1" x14ac:dyDescent="0.3">
      <c r="B455" s="32"/>
    </row>
    <row r="456" spans="2:2" s="31" customFormat="1" x14ac:dyDescent="0.3">
      <c r="B456" s="32"/>
    </row>
    <row r="457" spans="2:2" s="31" customFormat="1" x14ac:dyDescent="0.3">
      <c r="B457" s="32"/>
    </row>
    <row r="458" spans="2:2" s="31" customFormat="1" x14ac:dyDescent="0.3">
      <c r="B458" s="32"/>
    </row>
    <row r="459" spans="2:2" s="31" customFormat="1" x14ac:dyDescent="0.3">
      <c r="B459" s="32"/>
    </row>
    <row r="460" spans="2:2" s="31" customFormat="1" x14ac:dyDescent="0.3">
      <c r="B460" s="32"/>
    </row>
    <row r="461" spans="2:2" s="31" customFormat="1" x14ac:dyDescent="0.3">
      <c r="B461" s="32"/>
    </row>
    <row r="462" spans="2:2" s="31" customFormat="1" x14ac:dyDescent="0.3">
      <c r="B462" s="32"/>
    </row>
    <row r="463" spans="2:2" s="31" customFormat="1" x14ac:dyDescent="0.3">
      <c r="B463" s="32"/>
    </row>
    <row r="464" spans="2:2" s="31" customFormat="1" x14ac:dyDescent="0.3">
      <c r="B464" s="32"/>
    </row>
    <row r="465" spans="2:2" s="31" customFormat="1" x14ac:dyDescent="0.3">
      <c r="B465" s="32"/>
    </row>
    <row r="466" spans="2:2" s="31" customFormat="1" x14ac:dyDescent="0.3">
      <c r="B466" s="32"/>
    </row>
    <row r="467" spans="2:2" s="31" customFormat="1" x14ac:dyDescent="0.3">
      <c r="B467" s="32"/>
    </row>
    <row r="468" spans="2:2" s="31" customFormat="1" x14ac:dyDescent="0.3">
      <c r="B468" s="32"/>
    </row>
    <row r="469" spans="2:2" s="31" customFormat="1" x14ac:dyDescent="0.3">
      <c r="B469" s="32"/>
    </row>
    <row r="470" spans="2:2" s="31" customFormat="1" x14ac:dyDescent="0.3">
      <c r="B470" s="32"/>
    </row>
    <row r="471" spans="2:2" s="31" customFormat="1" x14ac:dyDescent="0.3">
      <c r="B471" s="32"/>
    </row>
    <row r="472" spans="2:2" s="31" customFormat="1" x14ac:dyDescent="0.3">
      <c r="B472" s="32"/>
    </row>
    <row r="473" spans="2:2" s="31" customFormat="1" x14ac:dyDescent="0.3">
      <c r="B473" s="32"/>
    </row>
    <row r="474" spans="2:2" s="31" customFormat="1" x14ac:dyDescent="0.3">
      <c r="B474" s="32"/>
    </row>
    <row r="475" spans="2:2" s="31" customFormat="1" x14ac:dyDescent="0.3">
      <c r="B475" s="32"/>
    </row>
    <row r="476" spans="2:2" s="31" customFormat="1" x14ac:dyDescent="0.3">
      <c r="B476" s="32"/>
    </row>
    <row r="477" spans="2:2" s="31" customFormat="1" x14ac:dyDescent="0.3">
      <c r="B477" s="32"/>
    </row>
    <row r="478" spans="2:2" s="31" customFormat="1" x14ac:dyDescent="0.3">
      <c r="B478" s="32"/>
    </row>
    <row r="479" spans="2:2" s="31" customFormat="1" x14ac:dyDescent="0.3">
      <c r="B479" s="32"/>
    </row>
    <row r="480" spans="2:2" s="31" customFormat="1" x14ac:dyDescent="0.3">
      <c r="B480" s="32"/>
    </row>
    <row r="481" spans="2:2" s="31" customFormat="1" x14ac:dyDescent="0.3">
      <c r="B481" s="32"/>
    </row>
    <row r="482" spans="2:2" s="31" customFormat="1" x14ac:dyDescent="0.3">
      <c r="B482" s="32"/>
    </row>
    <row r="483" spans="2:2" s="31" customFormat="1" x14ac:dyDescent="0.3">
      <c r="B483" s="32"/>
    </row>
    <row r="484" spans="2:2" s="31" customFormat="1" x14ac:dyDescent="0.3">
      <c r="B484" s="32"/>
    </row>
    <row r="485" spans="2:2" s="31" customFormat="1" x14ac:dyDescent="0.3">
      <c r="B485" s="32"/>
    </row>
    <row r="486" spans="2:2" s="31" customFormat="1" x14ac:dyDescent="0.3">
      <c r="B486" s="32"/>
    </row>
    <row r="487" spans="2:2" s="31" customFormat="1" x14ac:dyDescent="0.3">
      <c r="B487" s="32"/>
    </row>
    <row r="488" spans="2:2" s="31" customFormat="1" x14ac:dyDescent="0.3">
      <c r="B488" s="32"/>
    </row>
    <row r="489" spans="2:2" s="31" customFormat="1" x14ac:dyDescent="0.3">
      <c r="B489" s="32"/>
    </row>
    <row r="490" spans="2:2" s="31" customFormat="1" x14ac:dyDescent="0.3">
      <c r="B490" s="32"/>
    </row>
    <row r="491" spans="2:2" s="31" customFormat="1" x14ac:dyDescent="0.3">
      <c r="B491" s="32"/>
    </row>
    <row r="492" spans="2:2" s="31" customFormat="1" x14ac:dyDescent="0.3">
      <c r="B492" s="32"/>
    </row>
    <row r="493" spans="2:2" s="31" customFormat="1" x14ac:dyDescent="0.3">
      <c r="B493" s="32"/>
    </row>
    <row r="494" spans="2:2" s="31" customFormat="1" x14ac:dyDescent="0.3">
      <c r="B494" s="32"/>
    </row>
    <row r="495" spans="2:2" s="31" customFormat="1" x14ac:dyDescent="0.3">
      <c r="B495" s="32"/>
    </row>
    <row r="496" spans="2:2" s="31" customFormat="1" x14ac:dyDescent="0.3">
      <c r="B496" s="32"/>
    </row>
    <row r="497" spans="2:2" s="31" customFormat="1" x14ac:dyDescent="0.3">
      <c r="B497" s="32"/>
    </row>
    <row r="498" spans="2:2" s="31" customFormat="1" x14ac:dyDescent="0.3">
      <c r="B498" s="32"/>
    </row>
    <row r="499" spans="2:2" s="31" customFormat="1" x14ac:dyDescent="0.3">
      <c r="B499" s="32"/>
    </row>
    <row r="500" spans="2:2" s="31" customFormat="1" x14ac:dyDescent="0.3">
      <c r="B500" s="32"/>
    </row>
    <row r="501" spans="2:2" s="31" customFormat="1" x14ac:dyDescent="0.3">
      <c r="B501" s="32"/>
    </row>
    <row r="502" spans="2:2" s="31" customFormat="1" x14ac:dyDescent="0.3">
      <c r="B502" s="32"/>
    </row>
    <row r="503" spans="2:2" s="31" customFormat="1" x14ac:dyDescent="0.3">
      <c r="B503" s="32"/>
    </row>
    <row r="504" spans="2:2" s="31" customFormat="1" x14ac:dyDescent="0.3">
      <c r="B504" s="32"/>
    </row>
    <row r="505" spans="2:2" s="31" customFormat="1" x14ac:dyDescent="0.3">
      <c r="B505" s="32"/>
    </row>
    <row r="506" spans="2:2" s="31" customFormat="1" x14ac:dyDescent="0.3">
      <c r="B506" s="32"/>
    </row>
    <row r="507" spans="2:2" s="31" customFormat="1" x14ac:dyDescent="0.3">
      <c r="B507" s="32"/>
    </row>
    <row r="508" spans="2:2" s="31" customFormat="1" x14ac:dyDescent="0.3">
      <c r="B508" s="32"/>
    </row>
    <row r="509" spans="2:2" s="31" customFormat="1" x14ac:dyDescent="0.3">
      <c r="B509" s="32"/>
    </row>
    <row r="510" spans="2:2" s="31" customFormat="1" x14ac:dyDescent="0.3">
      <c r="B510" s="32"/>
    </row>
    <row r="511" spans="2:2" s="31" customFormat="1" x14ac:dyDescent="0.3">
      <c r="B511" s="32"/>
    </row>
    <row r="512" spans="2:2" s="31" customFormat="1" x14ac:dyDescent="0.3">
      <c r="B512" s="32"/>
    </row>
    <row r="513" spans="2:2" s="31" customFormat="1" x14ac:dyDescent="0.3">
      <c r="B513" s="32"/>
    </row>
    <row r="514" spans="2:2" s="31" customFormat="1" x14ac:dyDescent="0.3">
      <c r="B514" s="32"/>
    </row>
    <row r="515" spans="2:2" s="31" customFormat="1" x14ac:dyDescent="0.3">
      <c r="B515" s="32"/>
    </row>
    <row r="516" spans="2:2" s="31" customFormat="1" x14ac:dyDescent="0.3">
      <c r="B516" s="32"/>
    </row>
    <row r="517" spans="2:2" s="31" customFormat="1" x14ac:dyDescent="0.3">
      <c r="B517" s="32"/>
    </row>
    <row r="518" spans="2:2" s="31" customFormat="1" x14ac:dyDescent="0.3">
      <c r="B518" s="32"/>
    </row>
    <row r="519" spans="2:2" s="31" customFormat="1" x14ac:dyDescent="0.3">
      <c r="B519" s="32"/>
    </row>
    <row r="520" spans="2:2" s="31" customFormat="1" x14ac:dyDescent="0.3">
      <c r="B520" s="32"/>
    </row>
    <row r="521" spans="2:2" s="31" customFormat="1" x14ac:dyDescent="0.3">
      <c r="B521" s="32"/>
    </row>
    <row r="522" spans="2:2" s="31" customFormat="1" x14ac:dyDescent="0.3">
      <c r="B522" s="32"/>
    </row>
    <row r="523" spans="2:2" s="31" customFormat="1" x14ac:dyDescent="0.3">
      <c r="B523" s="32"/>
    </row>
    <row r="524" spans="2:2" s="31" customFormat="1" x14ac:dyDescent="0.3">
      <c r="B524" s="32"/>
    </row>
    <row r="525" spans="2:2" s="31" customFormat="1" x14ac:dyDescent="0.3">
      <c r="B525" s="32"/>
    </row>
    <row r="526" spans="2:2" s="31" customFormat="1" x14ac:dyDescent="0.3">
      <c r="B526" s="32"/>
    </row>
    <row r="527" spans="2:2" s="31" customFormat="1" x14ac:dyDescent="0.3">
      <c r="B527" s="32"/>
    </row>
    <row r="528" spans="2:2" s="31" customFormat="1" x14ac:dyDescent="0.3">
      <c r="B528" s="32"/>
    </row>
    <row r="529" spans="2:2" s="31" customFormat="1" x14ac:dyDescent="0.3">
      <c r="B529" s="32"/>
    </row>
    <row r="530" spans="2:2" s="31" customFormat="1" x14ac:dyDescent="0.3">
      <c r="B530" s="32"/>
    </row>
    <row r="531" spans="2:2" s="31" customFormat="1" x14ac:dyDescent="0.3">
      <c r="B531" s="32"/>
    </row>
    <row r="532" spans="2:2" s="31" customFormat="1" x14ac:dyDescent="0.3">
      <c r="B532" s="32"/>
    </row>
    <row r="533" spans="2:2" s="31" customFormat="1" x14ac:dyDescent="0.3">
      <c r="B533" s="32"/>
    </row>
    <row r="534" spans="2:2" s="31" customFormat="1" x14ac:dyDescent="0.3">
      <c r="B534" s="32"/>
    </row>
    <row r="535" spans="2:2" s="31" customFormat="1" x14ac:dyDescent="0.3">
      <c r="B535" s="32"/>
    </row>
    <row r="536" spans="2:2" s="31" customFormat="1" x14ac:dyDescent="0.3">
      <c r="B536" s="32"/>
    </row>
    <row r="537" spans="2:2" s="31" customFormat="1" x14ac:dyDescent="0.3">
      <c r="B537" s="32"/>
    </row>
    <row r="538" spans="2:2" s="31" customFormat="1" x14ac:dyDescent="0.3">
      <c r="B538" s="32"/>
    </row>
    <row r="539" spans="2:2" s="31" customFormat="1" x14ac:dyDescent="0.3">
      <c r="B539" s="32"/>
    </row>
    <row r="540" spans="2:2" s="31" customFormat="1" x14ac:dyDescent="0.3">
      <c r="B540" s="32"/>
    </row>
    <row r="541" spans="2:2" s="31" customFormat="1" x14ac:dyDescent="0.3">
      <c r="B541" s="32"/>
    </row>
    <row r="542" spans="2:2" s="31" customFormat="1" x14ac:dyDescent="0.3">
      <c r="B542" s="32"/>
    </row>
    <row r="543" spans="2:2" s="31" customFormat="1" x14ac:dyDescent="0.3">
      <c r="B543" s="32"/>
    </row>
    <row r="544" spans="2:2" s="31" customFormat="1" x14ac:dyDescent="0.3">
      <c r="B544" s="32"/>
    </row>
    <row r="545" spans="2:2" s="31" customFormat="1" x14ac:dyDescent="0.3">
      <c r="B545" s="32"/>
    </row>
    <row r="546" spans="2:2" s="31" customFormat="1" x14ac:dyDescent="0.3">
      <c r="B546" s="32"/>
    </row>
    <row r="547" spans="2:2" s="31" customFormat="1" x14ac:dyDescent="0.3">
      <c r="B547" s="32"/>
    </row>
    <row r="548" spans="2:2" s="31" customFormat="1" x14ac:dyDescent="0.3">
      <c r="B548" s="32"/>
    </row>
    <row r="549" spans="2:2" s="31" customFormat="1" x14ac:dyDescent="0.3">
      <c r="B549" s="32"/>
    </row>
    <row r="550" spans="2:2" s="31" customFormat="1" x14ac:dyDescent="0.3">
      <c r="B550" s="32"/>
    </row>
    <row r="551" spans="2:2" s="31" customFormat="1" x14ac:dyDescent="0.3">
      <c r="B551" s="32"/>
    </row>
    <row r="552" spans="2:2" s="31" customFormat="1" x14ac:dyDescent="0.3">
      <c r="B552" s="32"/>
    </row>
    <row r="553" spans="2:2" s="31" customFormat="1" x14ac:dyDescent="0.3">
      <c r="B553" s="32"/>
    </row>
    <row r="554" spans="2:2" s="31" customFormat="1" x14ac:dyDescent="0.3">
      <c r="B554" s="32"/>
    </row>
    <row r="555" spans="2:2" s="31" customFormat="1" x14ac:dyDescent="0.3">
      <c r="B555" s="32"/>
    </row>
    <row r="556" spans="2:2" s="31" customFormat="1" x14ac:dyDescent="0.3">
      <c r="B556" s="32"/>
    </row>
    <row r="557" spans="2:2" s="31" customFormat="1" x14ac:dyDescent="0.3">
      <c r="B557" s="32"/>
    </row>
    <row r="558" spans="2:2" s="31" customFormat="1" x14ac:dyDescent="0.3">
      <c r="B558" s="32"/>
    </row>
    <row r="559" spans="2:2" s="31" customFormat="1" x14ac:dyDescent="0.3">
      <c r="B559" s="32"/>
    </row>
    <row r="560" spans="2:2" s="31" customFormat="1" x14ac:dyDescent="0.3">
      <c r="B560" s="32"/>
    </row>
    <row r="561" spans="2:2" s="31" customFormat="1" x14ac:dyDescent="0.3">
      <c r="B561" s="32"/>
    </row>
    <row r="562" spans="2:2" s="31" customFormat="1" x14ac:dyDescent="0.3">
      <c r="B562" s="32"/>
    </row>
    <row r="563" spans="2:2" s="31" customFormat="1" x14ac:dyDescent="0.3">
      <c r="B563" s="32"/>
    </row>
    <row r="564" spans="2:2" s="31" customFormat="1" x14ac:dyDescent="0.3">
      <c r="B564" s="32"/>
    </row>
    <row r="565" spans="2:2" s="31" customFormat="1" x14ac:dyDescent="0.3">
      <c r="B565" s="32"/>
    </row>
    <row r="566" spans="2:2" s="31" customFormat="1" x14ac:dyDescent="0.3">
      <c r="B566" s="32"/>
    </row>
    <row r="567" spans="2:2" s="31" customFormat="1" x14ac:dyDescent="0.3">
      <c r="B567" s="32"/>
    </row>
    <row r="568" spans="2:2" s="31" customFormat="1" x14ac:dyDescent="0.3">
      <c r="B568" s="32"/>
    </row>
    <row r="569" spans="2:2" s="31" customFormat="1" x14ac:dyDescent="0.3">
      <c r="B569" s="32"/>
    </row>
    <row r="570" spans="2:2" s="31" customFormat="1" x14ac:dyDescent="0.3">
      <c r="B570" s="32"/>
    </row>
    <row r="571" spans="2:2" s="31" customFormat="1" x14ac:dyDescent="0.3">
      <c r="B571" s="32"/>
    </row>
    <row r="572" spans="2:2" s="31" customFormat="1" x14ac:dyDescent="0.3">
      <c r="B572" s="32"/>
    </row>
    <row r="573" spans="2:2" s="31" customFormat="1" x14ac:dyDescent="0.3">
      <c r="B573" s="32"/>
    </row>
    <row r="574" spans="2:2" s="31" customFormat="1" x14ac:dyDescent="0.3">
      <c r="B574" s="32"/>
    </row>
    <row r="575" spans="2:2" s="31" customFormat="1" x14ac:dyDescent="0.3">
      <c r="B575" s="32"/>
    </row>
    <row r="576" spans="2:2" s="31" customFormat="1" x14ac:dyDescent="0.3">
      <c r="B576" s="32"/>
    </row>
    <row r="577" spans="2:2" s="31" customFormat="1" x14ac:dyDescent="0.3">
      <c r="B577" s="32"/>
    </row>
  </sheetData>
  <sheetProtection algorithmName="SHA-512" hashValue="z+m5jIx2YmhE8mivRMpIDRjqrs6F+yZI47+aBhZMJWgZN9bG13EDBnC82bL4AtSSvvx5UXh0G5on8YIOqdTycA==" saltValue="/8PUvdXFq6mLzZ4ZDLXi2Q==" spinCount="100000" sheet="1" objects="1" scenarios="1"/>
  <mergeCells count="16">
    <mergeCell ref="O19:P19"/>
    <mergeCell ref="O5:Q5"/>
    <mergeCell ref="H5:K5"/>
    <mergeCell ref="H18:I18"/>
    <mergeCell ref="A2:B2"/>
    <mergeCell ref="A3:B3"/>
    <mergeCell ref="A4:B4"/>
    <mergeCell ref="F6:F8"/>
    <mergeCell ref="E3:F3"/>
    <mergeCell ref="F9:F11"/>
    <mergeCell ref="F13:F15"/>
    <mergeCell ref="A17:B17"/>
    <mergeCell ref="A18:B18"/>
    <mergeCell ref="O17:P17"/>
    <mergeCell ref="H17:I17"/>
    <mergeCell ref="O18:P18"/>
  </mergeCells>
  <phoneticPr fontId="12" type="noConversion"/>
  <conditionalFormatting sqref="A20:F20">
    <cfRule type="expression" dxfId="17" priority="36">
      <formula>COUNTA(A20)&gt;0</formula>
    </cfRule>
  </conditionalFormatting>
  <conditionalFormatting sqref="C18 F21:F30">
    <cfRule type="cellIs" dxfId="16" priority="28" operator="lessThan">
      <formula>0</formula>
    </cfRule>
  </conditionalFormatting>
  <conditionalFormatting sqref="J18">
    <cfRule type="cellIs" dxfId="15" priority="26" operator="lessThan">
      <formula>0</formula>
    </cfRule>
  </conditionalFormatting>
  <conditionalFormatting sqref="B21:F40">
    <cfRule type="expression" dxfId="14" priority="16">
      <formula>B21&lt;&gt;""</formula>
    </cfRule>
  </conditionalFormatting>
  <conditionalFormatting sqref="C21:C40">
    <cfRule type="expression" dxfId="13" priority="15">
      <formula>F21&lt;0</formula>
    </cfRule>
  </conditionalFormatting>
  <conditionalFormatting sqref="Q18">
    <cfRule type="cellIs" dxfId="12" priority="14" operator="lessThan">
      <formula>0</formula>
    </cfRule>
  </conditionalFormatting>
  <conditionalFormatting sqref="B21:F64">
    <cfRule type="expression" dxfId="11" priority="13">
      <formula>"D21-SUMIF(BCQ!AA:AA,C21,BCQ!F:F)&lt;0"</formula>
    </cfRule>
  </conditionalFormatting>
  <conditionalFormatting sqref="D21">
    <cfRule type="expression" dxfId="10" priority="8">
      <formula>K21&lt;0</formula>
    </cfRule>
    <cfRule type="cellIs" dxfId="9" priority="10" operator="lessThan">
      <formula>0</formula>
    </cfRule>
    <cfRule type="expression" dxfId="8" priority="11">
      <formula>"k21&lt;0"</formula>
    </cfRule>
    <cfRule type="expression" dxfId="7" priority="12">
      <formula>"D21-SUMIF(BCQ!AA:AA,C21,BCQ!F:F)&lt;0"</formula>
    </cfRule>
  </conditionalFormatting>
  <conditionalFormatting sqref="C4">
    <cfRule type="cellIs" dxfId="6" priority="5" operator="greaterThan">
      <formula>0</formula>
    </cfRule>
  </conditionalFormatting>
  <conditionalFormatting sqref="G21:J62">
    <cfRule type="expression" dxfId="5" priority="4">
      <formula>K21&lt;&gt;0</formula>
    </cfRule>
  </conditionalFormatting>
  <conditionalFormatting sqref="H21:H61">
    <cfRule type="expression" dxfId="4" priority="3">
      <formula>K21&lt;&gt;0</formula>
    </cfRule>
  </conditionalFormatting>
  <conditionalFormatting sqref="I21:J62">
    <cfRule type="expression" dxfId="3" priority="2">
      <formula>K21&lt;&gt;0</formula>
    </cfRule>
  </conditionalFormatting>
  <conditionalFormatting sqref="J21:J61">
    <cfRule type="expression" dxfId="2" priority="1">
      <formula>K21&lt;&gt;0</formula>
    </cfRule>
  </conditionalFormatting>
  <pageMargins left="0.7" right="0.7" top="0.75" bottom="0.75" header="0.3" footer="0.3"/>
  <pageSetup paperSize="124" scale="39" fitToHeight="0" orientation="portrait" horizontalDpi="203" verticalDpi="203" r:id="rId1"/>
  <drawing r:id="rId2"/>
  <legacyDrawing r:id="rId3"/>
  <controls>
    <mc:AlternateContent xmlns:mc="http://schemas.openxmlformats.org/markup-compatibility/2006">
      <mc:Choice Requires="x14">
        <control shapeId="1038" r:id="rId4" name="CommandButton3">
          <controlPr defaultSize="0" autoLine="0" altText="RELOAD" r:id="rId5">
            <anchor moveWithCells="1">
              <from>
                <xdr:col>4</xdr:col>
                <xdr:colOff>342900</xdr:colOff>
                <xdr:row>3</xdr:row>
                <xdr:rowOff>83820</xdr:rowOff>
              </from>
              <to>
                <xdr:col>4</xdr:col>
                <xdr:colOff>2019300</xdr:colOff>
                <xdr:row>4</xdr:row>
                <xdr:rowOff>53340</xdr:rowOff>
              </to>
            </anchor>
          </controlPr>
        </control>
      </mc:Choice>
      <mc:Fallback>
        <control shapeId="1038" r:id="rId4" name="CommandButton3"/>
      </mc:Fallback>
    </mc:AlternateContent>
    <mc:AlternateContent xmlns:mc="http://schemas.openxmlformats.org/markup-compatibility/2006">
      <mc:Choice Requires="x14">
        <control shapeId="1032" r:id="rId6" name="CommandButton1">
          <controlPr defaultSize="0" autoFill="0" autoLine="0" altText="RELOAD" r:id="rId7">
            <anchor moveWithCells="1">
              <from>
                <xdr:col>4</xdr:col>
                <xdr:colOff>312420</xdr:colOff>
                <xdr:row>4</xdr:row>
                <xdr:rowOff>190500</xdr:rowOff>
              </from>
              <to>
                <xdr:col>4</xdr:col>
                <xdr:colOff>2011680</xdr:colOff>
                <xdr:row>4</xdr:row>
                <xdr:rowOff>746760</xdr:rowOff>
              </to>
            </anchor>
          </controlPr>
        </control>
      </mc:Choice>
      <mc:Fallback>
        <control shapeId="1032" r:id="rId6" name="CommandButton1"/>
      </mc:Fallback>
    </mc:AlternateContent>
    <mc:AlternateContent xmlns:mc="http://schemas.openxmlformats.org/markup-compatibility/2006">
      <mc:Choice Requires="x14">
        <control shapeId="1033" r:id="rId8" name="CommandButton2">
          <controlPr defaultSize="0" autoLine="0" altText="RELOAD" r:id="rId9">
            <anchor moveWithCells="1">
              <from>
                <xdr:col>4</xdr:col>
                <xdr:colOff>327660</xdr:colOff>
                <xdr:row>5</xdr:row>
                <xdr:rowOff>152400</xdr:rowOff>
              </from>
              <to>
                <xdr:col>4</xdr:col>
                <xdr:colOff>2026920</xdr:colOff>
                <xdr:row>6</xdr:row>
                <xdr:rowOff>106680</xdr:rowOff>
              </to>
            </anchor>
          </controlPr>
        </control>
      </mc:Choice>
      <mc:Fallback>
        <control shapeId="1033" r:id="rId8" name="CommandButton2"/>
      </mc:Fallback>
    </mc:AlternateContent>
    <mc:AlternateContent xmlns:mc="http://schemas.openxmlformats.org/markup-compatibility/2006">
      <mc:Choice Requires="x14">
        <control shapeId="1037" r:id="rId10" name="CommandButton6">
          <controlPr defaultSize="0" autoLine="0" altText="RELOAD" r:id="rId11">
            <anchor moveWithCells="1">
              <from>
                <xdr:col>4</xdr:col>
                <xdr:colOff>312420</xdr:colOff>
                <xdr:row>8</xdr:row>
                <xdr:rowOff>7620</xdr:rowOff>
              </from>
              <to>
                <xdr:col>4</xdr:col>
                <xdr:colOff>2034540</xdr:colOff>
                <xdr:row>10</xdr:row>
                <xdr:rowOff>160020</xdr:rowOff>
              </to>
            </anchor>
          </controlPr>
        </control>
      </mc:Choice>
      <mc:Fallback>
        <control shapeId="1037" r:id="rId10" name="CommandButton6"/>
      </mc:Fallback>
    </mc:AlternateContent>
    <mc:AlternateContent xmlns:mc="http://schemas.openxmlformats.org/markup-compatibility/2006">
      <mc:Choice Requires="x14">
        <control shapeId="1044" r:id="rId12" name="suadulieu">
          <controlPr defaultSize="0" autoLine="0" altText="RELOAD" r:id="rId13">
            <anchor moveWithCells="1">
              <from>
                <xdr:col>0</xdr:col>
                <xdr:colOff>121920</xdr:colOff>
                <xdr:row>21</xdr:row>
                <xdr:rowOff>68580</xdr:rowOff>
              </from>
              <to>
                <xdr:col>0</xdr:col>
                <xdr:colOff>906780</xdr:colOff>
                <xdr:row>23</xdr:row>
                <xdr:rowOff>45720</xdr:rowOff>
              </to>
            </anchor>
          </controlPr>
        </control>
      </mc:Choice>
      <mc:Fallback>
        <control shapeId="1044" r:id="rId12" name="suadulieu"/>
      </mc:Fallback>
    </mc:AlternateContent>
    <mc:AlternateContent xmlns:mc="http://schemas.openxmlformats.org/markup-compatibility/2006">
      <mc:Choice Requires="x14">
        <control shapeId="1047" r:id="rId14" name="kiemtienoffline">
          <controlPr defaultSize="0" autoLine="0" autoPict="0" r:id="rId15">
            <anchor moveWithCells="1">
              <from>
                <xdr:col>4</xdr:col>
                <xdr:colOff>304800</xdr:colOff>
                <xdr:row>12</xdr:row>
                <xdr:rowOff>22860</xdr:rowOff>
              </from>
              <to>
                <xdr:col>4</xdr:col>
                <xdr:colOff>1965960</xdr:colOff>
                <xdr:row>14</xdr:row>
                <xdr:rowOff>152400</xdr:rowOff>
              </to>
            </anchor>
          </controlPr>
        </control>
      </mc:Choice>
      <mc:Fallback>
        <control shapeId="1047" r:id="rId14" name="kiemtienofflin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OFFSET('1'!$C$51,0,0,COUNTA('1'!$C$51:$C$80)-COUNTIF('1'!$C$51:$C$80,"Tổng tiền"),1)</xm:f>
          </x14:formula1>
          <xm:sqref>E3:F3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D2000"/>
  <sheetViews>
    <sheetView topLeftCell="A22" workbookViewId="0">
      <selection activeCell="X45" sqref="X45"/>
    </sheetView>
  </sheetViews>
  <sheetFormatPr defaultRowHeight="14.4" x14ac:dyDescent="0.3"/>
  <cols>
    <col min="1" max="1" width="19.33203125" customWidth="1"/>
    <col min="2" max="2" width="19.109375" customWidth="1"/>
    <col min="3" max="3" width="14.6640625" customWidth="1"/>
    <col min="4" max="4" width="11.33203125" customWidth="1"/>
    <col min="5" max="5" width="13.6640625" customWidth="1"/>
    <col min="6" max="6" width="11.44140625" customWidth="1"/>
    <col min="7" max="7" width="10.88671875" hidden="1" customWidth="1"/>
    <col min="8" max="8" width="14.33203125" hidden="1" customWidth="1"/>
    <col min="9" max="10" width="9.109375" hidden="1" customWidth="1"/>
    <col min="11" max="11" width="12.33203125" hidden="1" customWidth="1"/>
    <col min="12" max="12" width="13.33203125" hidden="1" customWidth="1"/>
    <col min="13" max="13" width="10.6640625" hidden="1" customWidth="1"/>
    <col min="14" max="14" width="10.33203125" hidden="1" customWidth="1"/>
    <col min="15" max="15" width="28" hidden="1" customWidth="1"/>
    <col min="16" max="16" width="17.88671875" hidden="1" customWidth="1"/>
    <col min="17" max="17" width="10.33203125" hidden="1" customWidth="1"/>
    <col min="18" max="19" width="9.109375" hidden="1" customWidth="1"/>
    <col min="20" max="20" width="12.33203125" hidden="1" customWidth="1"/>
    <col min="21" max="21" width="17.5546875" hidden="1" customWidth="1"/>
    <col min="22" max="22" width="11.33203125" hidden="1" customWidth="1"/>
    <col min="23" max="23" width="11.88671875" hidden="1" customWidth="1"/>
    <col min="24" max="24" width="14.6640625" customWidth="1"/>
    <col min="25" max="25" width="9.6640625" customWidth="1"/>
    <col min="26" max="26" width="11.109375" customWidth="1"/>
    <col min="27" max="27" width="20.6640625" customWidth="1"/>
    <col min="28" max="28" width="27.6640625" customWidth="1"/>
    <col min="29" max="29" width="10.33203125" customWidth="1"/>
    <col min="30" max="30" width="32.5546875" customWidth="1"/>
  </cols>
  <sheetData>
    <row r="1" spans="1:30" x14ac:dyDescent="0.3">
      <c r="A1" s="30" t="s">
        <v>38</v>
      </c>
      <c r="B1" s="30"/>
      <c r="C1" s="30"/>
      <c r="D1" s="30"/>
      <c r="E1" s="30"/>
      <c r="F1" s="46"/>
      <c r="G1" s="46"/>
      <c r="H1" s="30"/>
      <c r="I1" s="30"/>
      <c r="J1" s="30"/>
      <c r="K1" s="30"/>
      <c r="L1" s="30"/>
      <c r="M1" s="30"/>
      <c r="N1" s="46"/>
      <c r="O1" s="30"/>
      <c r="P1" s="30"/>
      <c r="Q1" s="46"/>
      <c r="R1" s="30"/>
      <c r="S1" s="30"/>
      <c r="T1" s="46"/>
      <c r="U1" s="30"/>
      <c r="V1" s="30"/>
      <c r="W1" s="46"/>
      <c r="X1" s="30"/>
      <c r="Y1" s="46"/>
      <c r="Z1" s="30"/>
      <c r="AA1" s="30"/>
      <c r="AB1" s="30"/>
      <c r="AC1" s="30"/>
      <c r="AD1" s="30"/>
    </row>
    <row r="2" spans="1:30" x14ac:dyDescent="0.3">
      <c r="A2" s="30"/>
      <c r="B2" s="30"/>
      <c r="C2" s="30"/>
      <c r="D2" s="30"/>
      <c r="E2" s="30"/>
      <c r="F2" s="46"/>
      <c r="G2" s="46"/>
      <c r="H2" s="30"/>
      <c r="I2" s="30"/>
      <c r="J2" s="30"/>
      <c r="K2" s="30"/>
      <c r="L2" s="30"/>
      <c r="M2" s="30"/>
      <c r="N2" s="46"/>
      <c r="O2" s="30"/>
      <c r="P2" s="30"/>
      <c r="Q2" s="46"/>
      <c r="R2" s="30"/>
      <c r="S2" s="30"/>
      <c r="T2" s="46"/>
      <c r="U2" s="30"/>
      <c r="V2" s="30"/>
      <c r="W2" s="46"/>
      <c r="X2" s="30"/>
      <c r="Y2" s="46"/>
      <c r="Z2" s="30">
        <v>1</v>
      </c>
      <c r="AA2" s="58" t="s">
        <v>28</v>
      </c>
      <c r="AB2" s="30"/>
      <c r="AC2" s="30"/>
      <c r="AD2" s="30"/>
    </row>
    <row r="3" spans="1:30" x14ac:dyDescent="0.3">
      <c r="A3" s="30"/>
      <c r="B3" s="30"/>
      <c r="C3" s="30"/>
      <c r="D3" s="30"/>
      <c r="E3" s="30"/>
      <c r="F3" s="46">
        <v>100000</v>
      </c>
      <c r="G3" s="46"/>
      <c r="H3" s="30"/>
      <c r="I3" s="30"/>
      <c r="J3" s="30"/>
      <c r="K3" s="30"/>
      <c r="L3" s="30"/>
      <c r="M3" s="30"/>
      <c r="N3" s="46"/>
      <c r="O3" s="30"/>
      <c r="P3" s="30"/>
      <c r="Q3" s="46"/>
      <c r="R3" s="30"/>
      <c r="S3" s="30"/>
      <c r="T3" s="46"/>
      <c r="U3" s="30"/>
      <c r="V3" s="30"/>
      <c r="W3" s="46"/>
      <c r="X3" s="30"/>
      <c r="Y3" s="46"/>
      <c r="Z3" s="30">
        <v>2</v>
      </c>
      <c r="AA3" s="58" t="s">
        <v>39</v>
      </c>
      <c r="AB3" s="30"/>
      <c r="AC3" s="30"/>
      <c r="AD3" s="30"/>
    </row>
    <row r="4" spans="1:30" x14ac:dyDescent="0.3">
      <c r="A4" s="30"/>
      <c r="B4" s="30"/>
      <c r="C4" s="30"/>
      <c r="D4" s="30"/>
      <c r="E4" s="30"/>
      <c r="F4" s="46"/>
      <c r="G4" s="46"/>
      <c r="H4" s="30"/>
      <c r="I4" s="30"/>
      <c r="J4" s="30"/>
      <c r="K4" s="30"/>
      <c r="L4" s="30"/>
      <c r="M4" s="30"/>
      <c r="N4" s="46"/>
      <c r="O4" s="30"/>
      <c r="P4" s="30"/>
      <c r="Q4" s="46"/>
      <c r="R4" s="30"/>
      <c r="S4" s="30"/>
      <c r="T4" s="46"/>
      <c r="U4" s="30"/>
      <c r="V4" s="30"/>
      <c r="W4" s="46"/>
      <c r="X4" s="30"/>
      <c r="Y4" s="46"/>
      <c r="Z4" s="30">
        <v>3</v>
      </c>
      <c r="AA4" s="58"/>
      <c r="AB4" s="30"/>
      <c r="AC4" s="30"/>
      <c r="AD4" s="30"/>
    </row>
    <row r="5" spans="1:30" x14ac:dyDescent="0.3">
      <c r="A5" s="30"/>
      <c r="B5" s="30"/>
      <c r="C5" s="30"/>
      <c r="D5" s="30"/>
      <c r="E5" s="30"/>
      <c r="F5" s="46"/>
      <c r="G5" s="46"/>
      <c r="H5" s="30"/>
      <c r="I5" s="30"/>
      <c r="J5" s="30"/>
      <c r="K5" s="30"/>
      <c r="L5" s="30"/>
      <c r="M5" s="30"/>
      <c r="N5" s="46"/>
      <c r="O5" s="30"/>
      <c r="P5" s="30"/>
      <c r="Q5" s="46"/>
      <c r="R5" s="30"/>
      <c r="S5" s="30"/>
      <c r="T5" s="46"/>
      <c r="U5" s="30"/>
      <c r="V5" s="30"/>
      <c r="W5" s="46"/>
      <c r="X5" s="30"/>
      <c r="Y5" s="46"/>
      <c r="Z5" s="30">
        <v>4</v>
      </c>
      <c r="AA5" s="58"/>
      <c r="AB5" s="30"/>
      <c r="AC5" s="30"/>
      <c r="AD5" s="30"/>
    </row>
    <row r="6" spans="1:30" x14ac:dyDescent="0.3">
      <c r="A6" s="30"/>
      <c r="B6" s="30"/>
      <c r="C6" s="30"/>
      <c r="D6" s="30"/>
      <c r="E6" s="30"/>
      <c r="F6" s="46"/>
      <c r="G6" s="46"/>
      <c r="H6" s="30"/>
      <c r="I6" s="30"/>
      <c r="J6" s="30"/>
      <c r="K6" s="30"/>
      <c r="L6" s="30"/>
      <c r="M6" s="30"/>
      <c r="N6" s="46"/>
      <c r="O6" s="30"/>
      <c r="P6" s="30"/>
      <c r="Q6" s="46"/>
      <c r="R6" s="30"/>
      <c r="S6" s="30"/>
      <c r="T6" s="46"/>
      <c r="U6" s="30"/>
      <c r="V6" s="30"/>
      <c r="W6" s="46"/>
      <c r="X6" s="30"/>
      <c r="Y6" s="46"/>
      <c r="Z6" s="30">
        <v>5</v>
      </c>
      <c r="AA6" s="58"/>
      <c r="AB6" s="30"/>
      <c r="AC6" s="30"/>
      <c r="AD6" s="30"/>
    </row>
    <row r="7" spans="1:30" x14ac:dyDescent="0.3">
      <c r="A7" s="30"/>
      <c r="B7" s="30"/>
      <c r="C7" s="30"/>
      <c r="D7" s="30"/>
      <c r="E7" s="30"/>
      <c r="F7" s="46"/>
      <c r="G7" s="46"/>
      <c r="H7" s="30"/>
      <c r="I7" s="30"/>
      <c r="J7" s="30"/>
      <c r="K7" s="30"/>
      <c r="L7" s="30"/>
      <c r="M7" s="30"/>
      <c r="N7" s="46"/>
      <c r="O7" s="30"/>
      <c r="P7" s="30"/>
      <c r="Q7" s="46"/>
      <c r="R7" s="30"/>
      <c r="S7" s="30"/>
      <c r="T7" s="46"/>
      <c r="U7" s="30"/>
      <c r="V7" s="30"/>
      <c r="W7" s="46"/>
      <c r="X7" s="30"/>
      <c r="Y7" s="46"/>
      <c r="Z7" s="30">
        <v>6</v>
      </c>
      <c r="AA7" s="58"/>
      <c r="AB7" s="30"/>
      <c r="AC7" s="30"/>
      <c r="AD7" s="30"/>
    </row>
    <row r="8" spans="1:30" x14ac:dyDescent="0.3">
      <c r="A8" s="30"/>
      <c r="B8" s="30"/>
      <c r="C8" s="30"/>
      <c r="D8" s="30"/>
      <c r="E8" s="30"/>
      <c r="F8" s="46"/>
      <c r="G8" s="46"/>
      <c r="H8" s="30"/>
      <c r="I8" s="30"/>
      <c r="J8" s="30"/>
      <c r="K8" s="30"/>
      <c r="L8" s="30"/>
      <c r="M8" s="30"/>
      <c r="N8" s="46"/>
      <c r="O8" s="30"/>
      <c r="P8" s="30"/>
      <c r="Q8" s="46"/>
      <c r="R8" s="30"/>
      <c r="S8" s="30"/>
      <c r="T8" s="46"/>
      <c r="U8" s="30"/>
      <c r="V8" s="30"/>
      <c r="W8" s="46"/>
      <c r="X8" s="30"/>
      <c r="Y8" s="46"/>
      <c r="Z8" s="30">
        <v>7</v>
      </c>
      <c r="AA8" s="58"/>
      <c r="AB8" s="30"/>
      <c r="AC8" s="30"/>
      <c r="AD8" s="30"/>
    </row>
    <row r="9" spans="1:30" x14ac:dyDescent="0.3">
      <c r="A9" s="30"/>
      <c r="B9" s="30"/>
      <c r="C9" s="30"/>
      <c r="D9" s="30"/>
      <c r="E9" s="30"/>
      <c r="F9" s="46"/>
      <c r="G9" s="46"/>
      <c r="H9" s="30"/>
      <c r="I9" s="30"/>
      <c r="J9" s="30"/>
      <c r="K9" s="30"/>
      <c r="L9" s="30"/>
      <c r="M9" s="30"/>
      <c r="N9" s="46"/>
      <c r="O9" s="30"/>
      <c r="P9" s="30"/>
      <c r="Q9" s="46"/>
      <c r="R9" s="30"/>
      <c r="S9" s="30"/>
      <c r="T9" s="46"/>
      <c r="U9" s="30"/>
      <c r="V9" s="30"/>
      <c r="W9" s="46"/>
      <c r="X9" s="30"/>
      <c r="Y9" s="46"/>
      <c r="Z9" s="30">
        <v>8</v>
      </c>
      <c r="AA9" s="58"/>
      <c r="AB9" s="30"/>
      <c r="AC9" s="30"/>
      <c r="AD9" s="30"/>
    </row>
    <row r="10" spans="1:30" x14ac:dyDescent="0.3">
      <c r="A10" s="30"/>
      <c r="B10" s="30"/>
      <c r="C10" s="30"/>
      <c r="D10" s="30"/>
      <c r="E10" s="30"/>
      <c r="F10" s="46"/>
      <c r="G10" s="46"/>
      <c r="H10" s="30"/>
      <c r="I10" s="30"/>
      <c r="J10" s="30"/>
      <c r="K10" s="30"/>
      <c r="L10" s="30"/>
      <c r="M10" s="30"/>
      <c r="N10" s="46"/>
      <c r="O10" s="30"/>
      <c r="P10" s="30"/>
      <c r="Q10" s="46"/>
      <c r="R10" s="30"/>
      <c r="S10" s="30"/>
      <c r="T10" s="46"/>
      <c r="U10" s="30"/>
      <c r="V10" s="30"/>
      <c r="W10" s="46"/>
      <c r="X10" s="30"/>
      <c r="Y10" s="46"/>
      <c r="Z10" s="30">
        <v>9</v>
      </c>
      <c r="AA10" s="58"/>
      <c r="AB10" s="30"/>
      <c r="AC10" s="30"/>
      <c r="AD10" s="30"/>
    </row>
    <row r="11" spans="1:30" x14ac:dyDescent="0.3">
      <c r="A11" s="30"/>
      <c r="B11" s="30"/>
      <c r="C11" s="30"/>
      <c r="D11" s="30"/>
      <c r="E11" s="30"/>
      <c r="F11" s="46"/>
      <c r="G11" s="46"/>
      <c r="H11" s="30"/>
      <c r="I11" s="30"/>
      <c r="J11" s="30"/>
      <c r="K11" s="30"/>
      <c r="L11" s="30"/>
      <c r="M11" s="30"/>
      <c r="N11" s="46"/>
      <c r="O11" s="30"/>
      <c r="P11" s="30"/>
      <c r="Q11" s="46"/>
      <c r="R11" s="30"/>
      <c r="S11" s="30"/>
      <c r="T11" s="46"/>
      <c r="U11" s="30"/>
      <c r="V11" s="30"/>
      <c r="W11" s="46"/>
      <c r="X11" s="30"/>
      <c r="Y11" s="46"/>
      <c r="Z11" s="30">
        <v>10</v>
      </c>
      <c r="AA11" s="58"/>
      <c r="AB11" s="30"/>
      <c r="AC11" s="30"/>
      <c r="AD11" s="30"/>
    </row>
    <row r="12" spans="1:30" x14ac:dyDescent="0.3">
      <c r="A12" s="30"/>
      <c r="B12" s="30"/>
      <c r="C12" s="30"/>
      <c r="D12" s="30"/>
      <c r="E12" s="30"/>
      <c r="F12" s="46"/>
      <c r="G12" s="46"/>
      <c r="H12" s="30"/>
      <c r="I12" s="30"/>
      <c r="J12" s="30"/>
      <c r="K12" s="30"/>
      <c r="L12" s="30"/>
      <c r="M12" s="30"/>
      <c r="N12" s="46"/>
      <c r="O12" s="30"/>
      <c r="P12" s="30"/>
      <c r="Q12" s="46"/>
      <c r="R12" s="30"/>
      <c r="S12" s="30"/>
      <c r="T12" s="46"/>
      <c r="U12" s="30"/>
      <c r="V12" s="30"/>
      <c r="W12" s="46"/>
      <c r="X12" s="30"/>
      <c r="Y12" s="46"/>
      <c r="Z12" s="30">
        <v>11</v>
      </c>
      <c r="AA12" s="58"/>
      <c r="AB12" s="30"/>
      <c r="AC12" s="30"/>
      <c r="AD12" s="30"/>
    </row>
    <row r="13" spans="1:30" x14ac:dyDescent="0.3">
      <c r="A13" s="30"/>
      <c r="B13" s="30"/>
      <c r="C13" s="30"/>
      <c r="D13" s="30"/>
      <c r="E13" s="30"/>
      <c r="F13" s="46"/>
      <c r="G13" s="46"/>
      <c r="H13" s="30"/>
      <c r="I13" s="30"/>
      <c r="J13" s="30"/>
      <c r="K13" s="30"/>
      <c r="L13" s="30"/>
      <c r="M13" s="30"/>
      <c r="N13" s="46"/>
      <c r="O13" s="30"/>
      <c r="P13" s="30"/>
      <c r="Q13" s="46"/>
      <c r="R13" s="30"/>
      <c r="S13" s="30"/>
      <c r="T13" s="46"/>
      <c r="U13" s="30"/>
      <c r="V13" s="30"/>
      <c r="W13" s="46"/>
      <c r="X13" s="30"/>
      <c r="Y13" s="46"/>
      <c r="Z13" s="30">
        <v>12</v>
      </c>
      <c r="AA13" s="58"/>
      <c r="AB13" s="30"/>
      <c r="AC13" s="30"/>
      <c r="AD13" s="30"/>
    </row>
    <row r="14" spans="1:30" x14ac:dyDescent="0.3">
      <c r="A14" s="30"/>
      <c r="B14" s="30"/>
      <c r="C14" s="30"/>
      <c r="D14" s="30"/>
      <c r="E14" s="30"/>
      <c r="F14" s="46"/>
      <c r="G14" s="46"/>
      <c r="H14" s="30"/>
      <c r="I14" s="30"/>
      <c r="J14" s="30"/>
      <c r="K14" s="30"/>
      <c r="L14" s="30"/>
      <c r="M14" s="30"/>
      <c r="N14" s="46"/>
      <c r="O14" s="30"/>
      <c r="P14" s="30"/>
      <c r="Q14" s="46"/>
      <c r="R14" s="30"/>
      <c r="S14" s="30"/>
      <c r="T14" s="46"/>
      <c r="U14" s="30"/>
      <c r="V14" s="30"/>
      <c r="W14" s="46"/>
      <c r="X14" s="30"/>
      <c r="Y14" s="46"/>
      <c r="Z14" s="30">
        <v>13</v>
      </c>
      <c r="AA14" s="58"/>
      <c r="AB14" s="30"/>
      <c r="AC14" s="30"/>
      <c r="AD14" s="30"/>
    </row>
    <row r="15" spans="1:30" x14ac:dyDescent="0.3">
      <c r="A15" s="30"/>
      <c r="B15" s="30"/>
      <c r="C15" s="30"/>
      <c r="D15" s="30"/>
      <c r="E15" s="30"/>
      <c r="F15" s="46"/>
      <c r="G15" s="46"/>
      <c r="H15" s="30"/>
      <c r="I15" s="30"/>
      <c r="J15" s="30"/>
      <c r="K15" s="30"/>
      <c r="L15" s="30"/>
      <c r="M15" s="30"/>
      <c r="N15" s="46"/>
      <c r="O15" s="30"/>
      <c r="P15" s="30"/>
      <c r="Q15" s="46"/>
      <c r="R15" s="30"/>
      <c r="S15" s="30"/>
      <c r="T15" s="46"/>
      <c r="U15" s="30"/>
      <c r="V15" s="30"/>
      <c r="W15" s="46"/>
      <c r="X15" s="30"/>
      <c r="Y15" s="46"/>
      <c r="Z15" s="30">
        <v>14</v>
      </c>
      <c r="AA15" s="58"/>
      <c r="AB15" s="30"/>
      <c r="AC15" s="30"/>
      <c r="AD15" s="30"/>
    </row>
    <row r="16" spans="1:30" x14ac:dyDescent="0.3">
      <c r="A16" s="30"/>
      <c r="B16" s="30"/>
      <c r="C16" s="30"/>
      <c r="D16" s="30"/>
      <c r="E16" s="30"/>
      <c r="F16" s="46"/>
      <c r="G16" s="46"/>
      <c r="H16" s="30"/>
      <c r="I16" s="30"/>
      <c r="J16" s="30"/>
      <c r="K16" s="30"/>
      <c r="L16" s="30"/>
      <c r="M16" s="30"/>
      <c r="N16" s="46"/>
      <c r="O16" s="30"/>
      <c r="P16" s="30"/>
      <c r="Q16" s="46"/>
      <c r="R16" s="30"/>
      <c r="S16" s="30"/>
      <c r="T16" s="46"/>
      <c r="U16" s="30"/>
      <c r="V16" s="30"/>
      <c r="W16" s="46"/>
      <c r="X16" s="30"/>
      <c r="Y16" s="46"/>
      <c r="Z16" s="30">
        <v>15</v>
      </c>
      <c r="AA16" s="58"/>
      <c r="AB16" s="30"/>
      <c r="AC16" s="30"/>
      <c r="AD16" s="30"/>
    </row>
    <row r="17" spans="1:30" x14ac:dyDescent="0.3">
      <c r="A17" s="30"/>
      <c r="B17" s="30"/>
      <c r="C17" s="30"/>
      <c r="D17" s="30"/>
      <c r="E17" s="30"/>
      <c r="F17" s="46"/>
      <c r="G17" s="46"/>
      <c r="H17" s="30"/>
      <c r="I17" s="30"/>
      <c r="J17" s="30"/>
      <c r="K17" s="30"/>
      <c r="L17" s="30"/>
      <c r="M17" s="30"/>
      <c r="N17" s="46"/>
      <c r="O17" s="30"/>
      <c r="P17" s="30"/>
      <c r="Q17" s="46"/>
      <c r="R17" s="30"/>
      <c r="S17" s="30"/>
      <c r="T17" s="46"/>
      <c r="U17" s="30"/>
      <c r="V17" s="30"/>
      <c r="W17" s="46"/>
      <c r="X17" s="30"/>
      <c r="Y17" s="46"/>
      <c r="Z17" s="30">
        <v>16</v>
      </c>
      <c r="AA17" s="58"/>
      <c r="AB17" s="30"/>
      <c r="AC17" s="30"/>
      <c r="AD17" s="30"/>
    </row>
    <row r="18" spans="1:30" x14ac:dyDescent="0.3">
      <c r="A18" s="30"/>
      <c r="B18" s="30"/>
      <c r="C18" s="30"/>
      <c r="D18" s="30"/>
      <c r="E18" s="30"/>
      <c r="F18" s="46"/>
      <c r="G18" s="46"/>
      <c r="H18" s="30"/>
      <c r="I18" s="30"/>
      <c r="J18" s="30"/>
      <c r="K18" s="30"/>
      <c r="L18" s="30"/>
      <c r="M18" s="30"/>
      <c r="N18" s="46"/>
      <c r="O18" s="30"/>
      <c r="P18" s="30"/>
      <c r="Q18" s="46"/>
      <c r="R18" s="30"/>
      <c r="S18" s="30"/>
      <c r="T18" s="46"/>
      <c r="U18" s="30"/>
      <c r="V18" s="30"/>
      <c r="W18" s="46"/>
      <c r="X18" s="30"/>
      <c r="Y18" s="46"/>
      <c r="Z18" s="30">
        <v>17</v>
      </c>
      <c r="AA18" s="58"/>
      <c r="AB18" s="30"/>
      <c r="AC18" s="30"/>
      <c r="AD18" s="30"/>
    </row>
    <row r="19" spans="1:30" x14ac:dyDescent="0.3">
      <c r="A19" s="30"/>
      <c r="B19" s="30"/>
      <c r="C19" s="30"/>
      <c r="D19" s="30"/>
      <c r="E19" s="30"/>
      <c r="F19" s="46"/>
      <c r="G19" s="46"/>
      <c r="H19" s="30"/>
      <c r="I19" s="30"/>
      <c r="J19" s="30"/>
      <c r="K19" s="30"/>
      <c r="L19" s="30"/>
      <c r="M19" s="30"/>
      <c r="N19" s="46"/>
      <c r="O19" s="30"/>
      <c r="P19" s="30"/>
      <c r="Q19" s="46"/>
      <c r="R19" s="30"/>
      <c r="S19" s="30"/>
      <c r="T19" s="46"/>
      <c r="U19" s="30"/>
      <c r="V19" s="30"/>
      <c r="W19" s="46"/>
      <c r="X19" s="30"/>
      <c r="Y19" s="46"/>
      <c r="Z19" s="30">
        <v>18</v>
      </c>
      <c r="AA19" s="58"/>
      <c r="AB19" s="30"/>
      <c r="AC19" s="30"/>
      <c r="AD19" s="30"/>
    </row>
    <row r="20" spans="1:30" x14ac:dyDescent="0.3">
      <c r="A20" s="30"/>
      <c r="B20" s="30"/>
      <c r="C20" s="30"/>
      <c r="D20" s="30"/>
      <c r="E20" s="30"/>
      <c r="F20" s="46"/>
      <c r="G20" s="46"/>
      <c r="H20" s="30"/>
      <c r="I20" s="30"/>
      <c r="J20" s="30"/>
      <c r="K20" s="30"/>
      <c r="L20" s="30"/>
      <c r="M20" s="30"/>
      <c r="N20" s="46"/>
      <c r="O20" s="30"/>
      <c r="P20" s="30"/>
      <c r="Q20" s="46"/>
      <c r="R20" s="30"/>
      <c r="S20" s="30"/>
      <c r="T20" s="46"/>
      <c r="U20" s="30"/>
      <c r="V20" s="30"/>
      <c r="W20" s="46"/>
      <c r="X20" s="30"/>
      <c r="Y20" s="46"/>
      <c r="Z20" s="30">
        <v>19</v>
      </c>
      <c r="AA20" s="58"/>
      <c r="AB20" s="30"/>
      <c r="AC20" s="30"/>
      <c r="AD20" s="30"/>
    </row>
    <row r="21" spans="1:30" x14ac:dyDescent="0.3">
      <c r="A21" s="30"/>
      <c r="B21" s="30"/>
      <c r="C21" s="30"/>
      <c r="D21" s="30"/>
      <c r="E21" s="30"/>
      <c r="F21" s="46"/>
      <c r="G21" s="46"/>
      <c r="H21" s="30"/>
      <c r="I21" s="30"/>
      <c r="J21" s="30"/>
      <c r="K21" s="30"/>
      <c r="L21" s="30"/>
      <c r="M21" s="30"/>
      <c r="N21" s="46"/>
      <c r="O21" s="30"/>
      <c r="P21" s="30"/>
      <c r="Q21" s="46"/>
      <c r="R21" s="30"/>
      <c r="S21" s="30"/>
      <c r="T21" s="46"/>
      <c r="U21" s="30"/>
      <c r="V21" s="30"/>
      <c r="W21" s="46"/>
      <c r="X21" s="30"/>
      <c r="Y21" s="46"/>
      <c r="Z21" s="30">
        <v>20</v>
      </c>
      <c r="AA21" s="58"/>
      <c r="AB21" s="30"/>
      <c r="AC21" s="30"/>
      <c r="AD21" s="30"/>
    </row>
    <row r="22" spans="1:30" x14ac:dyDescent="0.3">
      <c r="A22" s="30"/>
      <c r="B22" s="30"/>
      <c r="C22" s="30"/>
      <c r="D22" s="30"/>
      <c r="E22" s="30"/>
      <c r="F22" s="46"/>
      <c r="G22" s="46"/>
      <c r="H22" s="30"/>
      <c r="I22" s="30"/>
      <c r="J22" s="30"/>
      <c r="K22" s="30"/>
      <c r="L22" s="30"/>
      <c r="M22" s="30"/>
      <c r="N22" s="46"/>
      <c r="O22" s="30"/>
      <c r="P22" s="30"/>
      <c r="Q22" s="46"/>
      <c r="R22" s="30"/>
      <c r="S22" s="30"/>
      <c r="T22" s="46"/>
      <c r="U22" s="30"/>
      <c r="V22" s="30"/>
      <c r="W22" s="46"/>
      <c r="X22" s="30"/>
      <c r="Y22" s="46"/>
      <c r="Z22" s="30">
        <v>21</v>
      </c>
      <c r="AA22" s="58"/>
      <c r="AB22" s="30"/>
      <c r="AC22" s="30"/>
      <c r="AD22" s="30"/>
    </row>
    <row r="23" spans="1:30" x14ac:dyDescent="0.3">
      <c r="A23" s="30"/>
      <c r="B23" s="30"/>
      <c r="C23" s="30"/>
      <c r="D23" s="30"/>
      <c r="E23" s="30"/>
      <c r="F23" s="46"/>
      <c r="G23" s="46"/>
      <c r="H23" s="30"/>
      <c r="I23" s="30"/>
      <c r="J23" s="30"/>
      <c r="K23" s="30"/>
      <c r="L23" s="30"/>
      <c r="M23" s="30"/>
      <c r="N23" s="46"/>
      <c r="O23" s="30"/>
      <c r="P23" s="30"/>
      <c r="Q23" s="46"/>
      <c r="R23" s="30"/>
      <c r="S23" s="30"/>
      <c r="T23" s="46"/>
      <c r="U23" s="30"/>
      <c r="V23" s="30"/>
      <c r="W23" s="46"/>
      <c r="X23" s="30"/>
      <c r="Y23" s="46"/>
      <c r="Z23" s="30">
        <v>22</v>
      </c>
      <c r="AA23" s="58"/>
      <c r="AB23" s="30"/>
      <c r="AC23" s="30"/>
      <c r="AD23" s="30"/>
    </row>
    <row r="24" spans="1:30" x14ac:dyDescent="0.3">
      <c r="A24" s="30"/>
      <c r="B24" s="30"/>
      <c r="C24" s="30"/>
      <c r="D24" s="30"/>
      <c r="E24" s="30"/>
      <c r="F24" s="46"/>
      <c r="G24" s="46"/>
      <c r="H24" s="30"/>
      <c r="I24" s="30"/>
      <c r="J24" s="30"/>
      <c r="K24" s="30"/>
      <c r="L24" s="30"/>
      <c r="M24" s="30"/>
      <c r="N24" s="46"/>
      <c r="O24" s="30"/>
      <c r="P24" s="30"/>
      <c r="Q24" s="46"/>
      <c r="R24" s="30"/>
      <c r="S24" s="30"/>
      <c r="T24" s="46"/>
      <c r="U24" s="30"/>
      <c r="V24" s="30"/>
      <c r="W24" s="46"/>
      <c r="X24" s="30"/>
      <c r="Y24" s="46"/>
      <c r="Z24" s="30">
        <v>23</v>
      </c>
      <c r="AA24" s="58"/>
      <c r="AB24" s="30"/>
      <c r="AC24" s="30"/>
      <c r="AD24" s="30"/>
    </row>
    <row r="25" spans="1:30" x14ac:dyDescent="0.3">
      <c r="A25" s="30"/>
      <c r="B25" s="30"/>
      <c r="C25" s="30"/>
      <c r="D25" s="30"/>
      <c r="E25" s="30"/>
      <c r="F25" s="46"/>
      <c r="G25" s="46"/>
      <c r="H25" s="30"/>
      <c r="I25" s="30"/>
      <c r="J25" s="30"/>
      <c r="K25" s="30"/>
      <c r="L25" s="30"/>
      <c r="M25" s="30"/>
      <c r="N25" s="46"/>
      <c r="O25" s="30"/>
      <c r="P25" s="30"/>
      <c r="Q25" s="46"/>
      <c r="R25" s="30"/>
      <c r="S25" s="30"/>
      <c r="T25" s="46"/>
      <c r="U25" s="30"/>
      <c r="V25" s="30"/>
      <c r="W25" s="46"/>
      <c r="X25" s="30"/>
      <c r="Y25" s="46"/>
      <c r="Z25" s="30">
        <v>24</v>
      </c>
      <c r="AA25" s="58"/>
      <c r="AB25" s="30"/>
      <c r="AC25" s="30"/>
      <c r="AD25" s="30"/>
    </row>
    <row r="26" spans="1:30" x14ac:dyDescent="0.3">
      <c r="A26" s="30"/>
      <c r="B26" s="30"/>
      <c r="C26" s="30"/>
      <c r="D26" s="30"/>
      <c r="E26" s="30"/>
      <c r="F26" s="46"/>
      <c r="G26" s="46"/>
      <c r="H26" s="30"/>
      <c r="I26" s="30"/>
      <c r="J26" s="30"/>
      <c r="K26" s="30"/>
      <c r="L26" s="30"/>
      <c r="M26" s="30"/>
      <c r="N26" s="46"/>
      <c r="O26" s="30"/>
      <c r="P26" s="30"/>
      <c r="Q26" s="46"/>
      <c r="R26" s="30"/>
      <c r="S26" s="30"/>
      <c r="T26" s="46"/>
      <c r="U26" s="30"/>
      <c r="V26" s="30"/>
      <c r="W26" s="46"/>
      <c r="X26" s="30"/>
      <c r="Y26" s="46"/>
      <c r="Z26" s="30">
        <v>25</v>
      </c>
      <c r="AA26" s="58"/>
      <c r="AB26" s="30"/>
      <c r="AC26" s="30"/>
      <c r="AD26" s="30"/>
    </row>
    <row r="27" spans="1:30" x14ac:dyDescent="0.3">
      <c r="A27" s="30"/>
      <c r="B27" s="30"/>
      <c r="C27" s="30"/>
      <c r="D27" s="30"/>
      <c r="E27" s="30"/>
      <c r="F27" s="46"/>
      <c r="G27" s="46"/>
      <c r="H27" s="30"/>
      <c r="I27" s="30"/>
      <c r="J27" s="30"/>
      <c r="K27" s="30"/>
      <c r="L27" s="30"/>
      <c r="M27" s="30"/>
      <c r="N27" s="46"/>
      <c r="O27" s="30"/>
      <c r="P27" s="30"/>
      <c r="Q27" s="46"/>
      <c r="R27" s="30"/>
      <c r="S27" s="30"/>
      <c r="T27" s="46"/>
      <c r="U27" s="30"/>
      <c r="V27" s="30"/>
      <c r="W27" s="46"/>
      <c r="X27" s="30"/>
      <c r="Y27" s="46"/>
      <c r="Z27" s="30">
        <v>26</v>
      </c>
      <c r="AA27" s="58"/>
      <c r="AB27" s="30"/>
      <c r="AC27" s="30"/>
      <c r="AD27" s="30"/>
    </row>
    <row r="28" spans="1:30" x14ac:dyDescent="0.3">
      <c r="A28" s="30"/>
      <c r="B28" s="30"/>
      <c r="C28" s="30"/>
      <c r="D28" s="30"/>
      <c r="E28" s="30"/>
      <c r="F28" s="46"/>
      <c r="G28" s="46"/>
      <c r="H28" s="30"/>
      <c r="I28" s="30"/>
      <c r="J28" s="30"/>
      <c r="K28" s="30"/>
      <c r="L28" s="30"/>
      <c r="M28" s="30"/>
      <c r="N28" s="46"/>
      <c r="O28" s="30"/>
      <c r="P28" s="30"/>
      <c r="Q28" s="46"/>
      <c r="R28" s="30"/>
      <c r="S28" s="30"/>
      <c r="T28" s="46"/>
      <c r="U28" s="30"/>
      <c r="V28" s="30"/>
      <c r="W28" s="46"/>
      <c r="X28" s="30"/>
      <c r="Y28" s="46"/>
      <c r="Z28" s="30">
        <v>27</v>
      </c>
      <c r="AA28" s="58"/>
      <c r="AB28" s="30"/>
      <c r="AC28" s="30"/>
      <c r="AD28" s="30"/>
    </row>
    <row r="29" spans="1:30" x14ac:dyDescent="0.3">
      <c r="A29" s="30"/>
      <c r="B29" s="30"/>
      <c r="C29" s="30"/>
      <c r="D29" s="30"/>
      <c r="E29" s="30"/>
      <c r="F29" s="46"/>
      <c r="G29" s="46"/>
      <c r="H29" s="30"/>
      <c r="I29" s="30"/>
      <c r="J29" s="30"/>
      <c r="K29" s="30"/>
      <c r="L29" s="30"/>
      <c r="M29" s="30"/>
      <c r="N29" s="46"/>
      <c r="O29" s="30"/>
      <c r="P29" s="30"/>
      <c r="Q29" s="46"/>
      <c r="R29" s="30"/>
      <c r="S29" s="30"/>
      <c r="T29" s="46"/>
      <c r="U29" s="30"/>
      <c r="V29" s="30"/>
      <c r="W29" s="46"/>
      <c r="X29" s="30"/>
      <c r="Y29" s="46"/>
      <c r="Z29" s="30">
        <v>28</v>
      </c>
      <c r="AA29" s="58"/>
      <c r="AB29" s="30"/>
      <c r="AC29" s="30"/>
      <c r="AD29" s="30"/>
    </row>
    <row r="30" spans="1:30" x14ac:dyDescent="0.3">
      <c r="A30" s="30"/>
      <c r="B30" s="30"/>
      <c r="C30" s="30"/>
      <c r="D30" s="30"/>
      <c r="E30" s="30"/>
      <c r="F30" s="46"/>
      <c r="G30" s="46"/>
      <c r="H30" s="30"/>
      <c r="I30" s="30"/>
      <c r="J30" s="30"/>
      <c r="K30" s="30"/>
      <c r="L30" s="30"/>
      <c r="M30" s="30"/>
      <c r="N30" s="46"/>
      <c r="O30" s="30"/>
      <c r="P30" s="30"/>
      <c r="Q30" s="46"/>
      <c r="R30" s="30"/>
      <c r="S30" s="30"/>
      <c r="T30" s="46"/>
      <c r="U30" s="30"/>
      <c r="V30" s="30"/>
      <c r="W30" s="46"/>
      <c r="X30" s="30"/>
      <c r="Y30" s="46"/>
      <c r="Z30" s="30">
        <v>29</v>
      </c>
      <c r="AA30" s="58"/>
      <c r="AB30" s="30"/>
      <c r="AC30" s="30"/>
      <c r="AD30" s="30"/>
    </row>
    <row r="31" spans="1:30" x14ac:dyDescent="0.3">
      <c r="A31" s="30"/>
      <c r="B31" s="30"/>
      <c r="C31" s="30"/>
      <c r="D31" s="30"/>
      <c r="E31" s="30"/>
      <c r="F31" s="46"/>
      <c r="G31" s="46"/>
      <c r="H31" s="30"/>
      <c r="I31" s="30"/>
      <c r="J31" s="30"/>
      <c r="K31" s="30"/>
      <c r="L31" s="30"/>
      <c r="M31" s="30"/>
      <c r="N31" s="46"/>
      <c r="O31" s="30"/>
      <c r="P31" s="30"/>
      <c r="Q31" s="46"/>
      <c r="R31" s="30"/>
      <c r="S31" s="30"/>
      <c r="T31" s="46"/>
      <c r="U31" s="30"/>
      <c r="V31" s="30"/>
      <c r="W31" s="46"/>
      <c r="X31" s="30"/>
      <c r="Y31" s="46"/>
      <c r="Z31" s="30">
        <v>30</v>
      </c>
      <c r="AA31" s="58"/>
      <c r="AB31" s="30"/>
      <c r="AC31" s="30"/>
      <c r="AD31" s="30"/>
    </row>
    <row r="32" spans="1:30" x14ac:dyDescent="0.3">
      <c r="A32" s="30"/>
      <c r="B32" s="30"/>
      <c r="C32" s="30"/>
      <c r="D32" s="30"/>
      <c r="E32" s="30"/>
      <c r="F32" s="46"/>
      <c r="G32" s="46"/>
      <c r="H32" s="30"/>
      <c r="I32" s="30"/>
      <c r="J32" s="30"/>
      <c r="K32" s="30"/>
      <c r="L32" s="30"/>
      <c r="M32" s="30"/>
      <c r="N32" s="46"/>
      <c r="O32" s="30"/>
      <c r="P32" s="30"/>
      <c r="Q32" s="46"/>
      <c r="R32" s="30"/>
      <c r="S32" s="30"/>
      <c r="T32" s="46"/>
      <c r="U32" s="30"/>
      <c r="V32" s="30"/>
      <c r="W32" s="46"/>
      <c r="X32" s="30"/>
      <c r="Y32" s="46"/>
      <c r="Z32" s="30">
        <v>31</v>
      </c>
      <c r="AA32" s="58"/>
      <c r="AB32" s="30"/>
      <c r="AC32" s="30"/>
      <c r="AD32" s="30"/>
    </row>
    <row r="33" spans="1:30" x14ac:dyDescent="0.3">
      <c r="A33" s="30"/>
      <c r="B33" s="30"/>
      <c r="C33" s="30"/>
      <c r="D33" s="30"/>
      <c r="E33" s="30"/>
      <c r="F33" s="46"/>
      <c r="G33" s="46"/>
      <c r="H33" s="30"/>
      <c r="I33" s="30"/>
      <c r="J33" s="30"/>
      <c r="K33" s="30"/>
      <c r="L33" s="30"/>
      <c r="M33" s="30"/>
      <c r="N33" s="46"/>
      <c r="O33" s="30"/>
      <c r="P33" s="30"/>
      <c r="Q33" s="46"/>
      <c r="R33" s="30"/>
      <c r="S33" s="30"/>
      <c r="T33" s="46"/>
      <c r="U33" s="30"/>
      <c r="V33" s="30"/>
      <c r="W33" s="46"/>
      <c r="X33" s="30"/>
      <c r="Y33" s="46"/>
      <c r="Z33" s="30">
        <v>32</v>
      </c>
      <c r="AA33" s="58"/>
      <c r="AB33" s="30"/>
      <c r="AC33" s="30"/>
      <c r="AD33" s="30"/>
    </row>
    <row r="34" spans="1:30" x14ac:dyDescent="0.3">
      <c r="A34" s="30"/>
      <c r="B34" s="30"/>
      <c r="C34" s="30"/>
      <c r="D34" s="30"/>
      <c r="E34" s="30"/>
      <c r="F34" s="46"/>
      <c r="G34" s="46"/>
      <c r="H34" s="30"/>
      <c r="I34" s="30"/>
      <c r="J34" s="30"/>
      <c r="K34" s="30"/>
      <c r="L34" s="30"/>
      <c r="M34" s="30"/>
      <c r="N34" s="46"/>
      <c r="O34" s="30"/>
      <c r="P34" s="30"/>
      <c r="Q34" s="46"/>
      <c r="R34" s="30"/>
      <c r="S34" s="30"/>
      <c r="T34" s="46"/>
      <c r="U34" s="30"/>
      <c r="V34" s="30"/>
      <c r="W34" s="46"/>
      <c r="X34" s="30"/>
      <c r="Y34" s="46"/>
      <c r="Z34" s="30">
        <v>33</v>
      </c>
      <c r="AB34" s="30"/>
      <c r="AC34" s="30"/>
      <c r="AD34" s="30"/>
    </row>
    <row r="35" spans="1:30" x14ac:dyDescent="0.3">
      <c r="A35" s="30"/>
      <c r="B35" s="30"/>
      <c r="C35" s="30"/>
      <c r="D35" s="30"/>
      <c r="E35" s="30"/>
      <c r="F35" s="46"/>
      <c r="G35" s="46"/>
      <c r="H35" s="30"/>
      <c r="I35" s="30"/>
      <c r="J35" s="30"/>
      <c r="K35" s="30"/>
      <c r="L35" s="30"/>
      <c r="M35" s="30"/>
      <c r="N35" s="46"/>
      <c r="O35" s="30"/>
      <c r="P35" s="30"/>
      <c r="Q35" s="46"/>
      <c r="R35" s="30"/>
      <c r="S35" s="30"/>
      <c r="T35" s="46"/>
      <c r="U35" s="30"/>
      <c r="V35" s="30"/>
      <c r="W35" s="46"/>
      <c r="X35" s="30"/>
      <c r="Y35" s="46"/>
      <c r="Z35" s="30">
        <v>34</v>
      </c>
      <c r="AB35" s="30"/>
      <c r="AC35" s="30"/>
      <c r="AD35" s="30"/>
    </row>
    <row r="36" spans="1:30" x14ac:dyDescent="0.3">
      <c r="A36" s="30"/>
      <c r="B36" s="30"/>
      <c r="C36" s="30"/>
      <c r="D36" s="30"/>
      <c r="E36" s="30"/>
      <c r="F36" s="46"/>
      <c r="G36" s="46"/>
      <c r="H36" s="30"/>
      <c r="I36" s="30"/>
      <c r="J36" s="30"/>
      <c r="K36" s="30"/>
      <c r="L36" s="30"/>
      <c r="M36" s="30"/>
      <c r="N36" s="46"/>
      <c r="O36" s="30"/>
      <c r="P36" s="30"/>
      <c r="Q36" s="46"/>
      <c r="R36" s="30"/>
      <c r="S36" s="30"/>
      <c r="T36" s="46"/>
      <c r="U36" s="30"/>
      <c r="V36" s="30"/>
      <c r="W36" s="46"/>
      <c r="X36" s="30"/>
      <c r="Y36" s="46"/>
      <c r="Z36" s="30">
        <v>35</v>
      </c>
      <c r="AB36" s="30"/>
      <c r="AC36" s="30"/>
      <c r="AD36" s="30"/>
    </row>
    <row r="37" spans="1:30" x14ac:dyDescent="0.3">
      <c r="A37" s="30"/>
      <c r="B37" s="30"/>
      <c r="C37" s="30"/>
      <c r="D37" s="30"/>
      <c r="E37" s="30"/>
      <c r="F37" s="46"/>
      <c r="G37" s="46"/>
      <c r="H37" s="30"/>
      <c r="I37" s="30"/>
      <c r="J37" s="30"/>
      <c r="K37" s="30"/>
      <c r="L37" s="30"/>
      <c r="M37" s="30"/>
      <c r="N37" s="46"/>
      <c r="O37" s="30"/>
      <c r="P37" s="30"/>
      <c r="Q37" s="46"/>
      <c r="R37" s="30"/>
      <c r="S37" s="30"/>
      <c r="T37" s="46"/>
      <c r="U37" s="30"/>
      <c r="V37" s="30"/>
      <c r="W37" s="46"/>
      <c r="X37" s="30"/>
      <c r="Y37" s="46"/>
      <c r="Z37" s="30">
        <v>36</v>
      </c>
      <c r="AB37" s="30"/>
      <c r="AC37" s="30"/>
      <c r="AD37" s="30"/>
    </row>
    <row r="38" spans="1:30" x14ac:dyDescent="0.3">
      <c r="A38" s="30"/>
      <c r="B38" s="30"/>
      <c r="C38" s="30"/>
      <c r="D38" s="30"/>
      <c r="E38" s="30"/>
      <c r="F38" s="46"/>
      <c r="G38" s="46"/>
      <c r="H38" s="30"/>
      <c r="I38" s="30"/>
      <c r="J38" s="30"/>
      <c r="K38" s="30"/>
      <c r="L38" s="30"/>
      <c r="M38" s="30"/>
      <c r="N38" s="46"/>
      <c r="O38" s="30"/>
      <c r="P38" s="30"/>
      <c r="Q38" s="46"/>
      <c r="R38" s="30"/>
      <c r="S38" s="30"/>
      <c r="T38" s="46"/>
      <c r="U38" s="30"/>
      <c r="V38" s="30"/>
      <c r="W38" s="46"/>
      <c r="X38" s="30"/>
      <c r="Y38" s="46"/>
      <c r="Z38" s="30">
        <v>37</v>
      </c>
      <c r="AB38" s="30"/>
      <c r="AC38" s="30"/>
      <c r="AD38" s="30"/>
    </row>
    <row r="39" spans="1:30" x14ac:dyDescent="0.3">
      <c r="A39" s="30"/>
      <c r="B39" s="30"/>
      <c r="C39" s="30"/>
      <c r="D39" s="30"/>
      <c r="E39" s="30"/>
      <c r="F39" s="46"/>
      <c r="G39" s="46"/>
      <c r="H39" s="30"/>
      <c r="I39" s="30"/>
      <c r="J39" s="30"/>
      <c r="K39" s="30"/>
      <c r="L39" s="30"/>
      <c r="M39" s="30"/>
      <c r="N39" s="46"/>
      <c r="O39" s="30"/>
      <c r="P39" s="30"/>
      <c r="Q39" s="46"/>
      <c r="R39" s="30"/>
      <c r="S39" s="30"/>
      <c r="T39" s="46"/>
      <c r="U39" s="30"/>
      <c r="V39" s="30"/>
      <c r="W39" s="46"/>
      <c r="X39" s="30"/>
      <c r="Y39" s="46"/>
      <c r="Z39" s="30">
        <v>38</v>
      </c>
      <c r="AB39" s="30"/>
      <c r="AC39" s="30"/>
      <c r="AD39" s="30"/>
    </row>
    <row r="40" spans="1:30" x14ac:dyDescent="0.3">
      <c r="A40" s="30"/>
      <c r="B40" s="30"/>
      <c r="C40" s="30"/>
      <c r="D40" s="30"/>
      <c r="E40" s="30"/>
      <c r="F40" s="46"/>
      <c r="G40" s="46"/>
      <c r="H40" s="30"/>
      <c r="I40" s="30"/>
      <c r="J40" s="30"/>
      <c r="K40" s="30"/>
      <c r="L40" s="30"/>
      <c r="M40" s="30"/>
      <c r="N40" s="46"/>
      <c r="O40" s="30"/>
      <c r="P40" s="30"/>
      <c r="Q40" s="46"/>
      <c r="R40" s="30"/>
      <c r="S40" s="30"/>
      <c r="T40" s="46"/>
      <c r="U40" s="30"/>
      <c r="V40" s="30"/>
      <c r="W40" s="46"/>
      <c r="X40" s="30"/>
      <c r="Y40" s="46"/>
      <c r="Z40" s="30">
        <v>39</v>
      </c>
      <c r="AB40" s="30"/>
      <c r="AC40" s="30"/>
      <c r="AD40" s="30"/>
    </row>
    <row r="41" spans="1:30" x14ac:dyDescent="0.3">
      <c r="A41" s="30"/>
      <c r="B41" s="30"/>
      <c r="C41" s="30"/>
      <c r="D41" s="30"/>
      <c r="E41" s="30"/>
      <c r="F41" s="46"/>
      <c r="G41" s="46"/>
      <c r="H41" s="30"/>
      <c r="I41" s="30"/>
      <c r="J41" s="30"/>
      <c r="K41" s="30"/>
      <c r="L41" s="30"/>
      <c r="M41" s="30"/>
      <c r="N41" s="46"/>
      <c r="O41" s="30"/>
      <c r="P41" s="30"/>
      <c r="Q41" s="46"/>
      <c r="R41" s="30"/>
      <c r="S41" s="30"/>
      <c r="T41" s="46"/>
      <c r="U41" s="30"/>
      <c r="V41" s="30"/>
      <c r="W41" s="46"/>
      <c r="X41" s="30"/>
      <c r="Y41" s="46"/>
      <c r="Z41" s="30">
        <v>40</v>
      </c>
      <c r="AB41" s="30"/>
      <c r="AC41" s="30"/>
      <c r="AD41" s="30"/>
    </row>
    <row r="42" spans="1:30" x14ac:dyDescent="0.3">
      <c r="A42" s="30"/>
      <c r="B42" s="30"/>
      <c r="C42" s="30"/>
      <c r="D42" s="30"/>
      <c r="E42" s="30"/>
      <c r="F42" s="46"/>
      <c r="G42" s="46"/>
      <c r="H42" s="30"/>
      <c r="I42" s="30"/>
      <c r="J42" s="30"/>
      <c r="K42" s="30"/>
      <c r="L42" s="30"/>
      <c r="M42" s="30"/>
      <c r="N42" s="46"/>
      <c r="O42" s="30"/>
      <c r="P42" s="30"/>
      <c r="Q42" s="46"/>
      <c r="R42" s="30"/>
      <c r="S42" s="30"/>
      <c r="T42" s="46"/>
      <c r="U42" s="30"/>
      <c r="V42" s="30"/>
      <c r="W42" s="46"/>
      <c r="X42" s="30"/>
      <c r="Y42" s="46"/>
      <c r="Z42" s="30">
        <v>41</v>
      </c>
      <c r="AB42" s="30"/>
      <c r="AC42" s="30"/>
      <c r="AD42" s="30"/>
    </row>
    <row r="43" spans="1:30" x14ac:dyDescent="0.3">
      <c r="A43" s="30"/>
      <c r="B43" s="30"/>
      <c r="C43" s="30"/>
      <c r="D43" s="30"/>
      <c r="E43" s="30"/>
      <c r="F43" s="46"/>
      <c r="G43" s="46"/>
      <c r="H43" s="30"/>
      <c r="I43" s="30"/>
      <c r="J43" s="30"/>
      <c r="K43" s="30"/>
      <c r="L43" s="30"/>
      <c r="M43" s="30"/>
      <c r="N43" s="46"/>
      <c r="O43" s="30"/>
      <c r="P43" s="30"/>
      <c r="Q43" s="46"/>
      <c r="R43" s="30"/>
      <c r="S43" s="30"/>
      <c r="T43" s="46"/>
      <c r="U43" s="30"/>
      <c r="V43" s="30"/>
      <c r="W43" s="46"/>
      <c r="X43" s="30"/>
      <c r="Y43" s="46"/>
      <c r="Z43" s="30">
        <v>42</v>
      </c>
      <c r="AB43" s="30"/>
      <c r="AC43" s="30"/>
      <c r="AD43" s="30"/>
    </row>
    <row r="44" spans="1:30" x14ac:dyDescent="0.3">
      <c r="A44" s="30"/>
      <c r="B44" s="30"/>
      <c r="C44" s="30"/>
      <c r="D44" s="30"/>
      <c r="E44" s="30"/>
      <c r="F44" s="46"/>
      <c r="G44" s="46"/>
      <c r="H44" s="30"/>
      <c r="I44" s="30"/>
      <c r="J44" s="30"/>
      <c r="K44" s="30"/>
      <c r="L44" s="30"/>
      <c r="M44" s="30"/>
      <c r="N44" s="46"/>
      <c r="O44" s="30"/>
      <c r="P44" s="30"/>
      <c r="Q44" s="46"/>
      <c r="R44" s="30"/>
      <c r="S44" s="30"/>
      <c r="T44" s="46"/>
      <c r="U44" s="30"/>
      <c r="V44" s="30"/>
      <c r="W44" s="46"/>
      <c r="X44" s="30"/>
      <c r="Y44" s="46"/>
      <c r="Z44" s="30">
        <v>43</v>
      </c>
      <c r="AB44" s="30"/>
      <c r="AC44" s="30"/>
      <c r="AD44" s="30"/>
    </row>
    <row r="45" spans="1:30" x14ac:dyDescent="0.3">
      <c r="A45" s="30"/>
      <c r="B45" s="30"/>
      <c r="C45" s="30"/>
      <c r="D45" s="30"/>
      <c r="E45" s="30"/>
      <c r="F45" s="46"/>
      <c r="G45" s="46"/>
      <c r="H45" s="30"/>
      <c r="I45" s="30"/>
      <c r="J45" s="30"/>
      <c r="K45" s="30"/>
      <c r="L45" s="30"/>
      <c r="M45" s="30"/>
      <c r="N45" s="46"/>
      <c r="O45" s="30"/>
      <c r="P45" s="30"/>
      <c r="Q45" s="46"/>
      <c r="R45" s="30"/>
      <c r="S45" s="30"/>
      <c r="T45" s="46"/>
      <c r="U45" s="30"/>
      <c r="V45" s="30"/>
      <c r="W45" s="46"/>
      <c r="X45" s="30"/>
      <c r="Y45" s="46"/>
      <c r="Z45" s="30">
        <v>44</v>
      </c>
      <c r="AB45" s="30"/>
      <c r="AC45" s="30"/>
      <c r="AD45" s="30"/>
    </row>
    <row r="46" spans="1:30" x14ac:dyDescent="0.3">
      <c r="A46" s="30"/>
      <c r="B46" s="30"/>
      <c r="C46" s="30"/>
      <c r="D46" s="30"/>
      <c r="E46" s="30"/>
      <c r="F46" s="46"/>
      <c r="G46" s="46"/>
      <c r="H46" s="30"/>
      <c r="I46" s="30"/>
      <c r="J46" s="30"/>
      <c r="K46" s="30"/>
      <c r="L46" s="30"/>
      <c r="M46" s="30"/>
      <c r="N46" s="46"/>
      <c r="O46" s="30"/>
      <c r="P46" s="30"/>
      <c r="Q46" s="46"/>
      <c r="R46" s="30"/>
      <c r="S46" s="30"/>
      <c r="T46" s="46"/>
      <c r="U46" s="30"/>
      <c r="V46" s="30"/>
      <c r="W46" s="46"/>
      <c r="X46" s="30"/>
      <c r="Y46" s="46"/>
      <c r="Z46" s="30">
        <v>45</v>
      </c>
      <c r="AB46" s="30"/>
      <c r="AC46" s="30"/>
      <c r="AD46" s="30"/>
    </row>
    <row r="47" spans="1:30" x14ac:dyDescent="0.3">
      <c r="A47" s="30"/>
      <c r="B47" s="30"/>
      <c r="C47" s="30"/>
      <c r="D47" s="30"/>
      <c r="E47" s="30"/>
      <c r="F47" s="46"/>
      <c r="G47" s="46"/>
      <c r="H47" s="30"/>
      <c r="I47" s="30"/>
      <c r="J47" s="30"/>
      <c r="K47" s="30"/>
      <c r="L47" s="30"/>
      <c r="M47" s="30"/>
      <c r="N47" s="46"/>
      <c r="O47" s="30"/>
      <c r="P47" s="30"/>
      <c r="Q47" s="46"/>
      <c r="R47" s="30"/>
      <c r="S47" s="30"/>
      <c r="T47" s="46"/>
      <c r="U47" s="30"/>
      <c r="V47" s="30"/>
      <c r="W47" s="46"/>
      <c r="X47" s="30"/>
      <c r="Y47" s="46"/>
      <c r="Z47" s="30">
        <v>46</v>
      </c>
      <c r="AB47" s="30"/>
      <c r="AC47" s="30"/>
      <c r="AD47" s="30"/>
    </row>
    <row r="48" spans="1:30" x14ac:dyDescent="0.3">
      <c r="A48" s="30"/>
      <c r="B48" s="30"/>
      <c r="C48" s="30"/>
      <c r="D48" s="30"/>
      <c r="E48" s="30"/>
      <c r="F48" s="46"/>
      <c r="G48" s="46"/>
      <c r="H48" s="30"/>
      <c r="I48" s="30"/>
      <c r="J48" s="30"/>
      <c r="K48" s="30"/>
      <c r="L48" s="30"/>
      <c r="M48" s="30"/>
      <c r="N48" s="46"/>
      <c r="O48" s="30"/>
      <c r="P48" s="30"/>
      <c r="Q48" s="46"/>
      <c r="R48" s="30"/>
      <c r="S48" s="30"/>
      <c r="T48" s="46"/>
      <c r="U48" s="30"/>
      <c r="V48" s="30"/>
      <c r="W48" s="46"/>
      <c r="X48" s="30"/>
      <c r="Y48" s="46"/>
      <c r="Z48" s="30">
        <v>47</v>
      </c>
      <c r="AB48" s="30"/>
      <c r="AC48" s="30"/>
      <c r="AD48" s="30"/>
    </row>
    <row r="49" spans="1:30" x14ac:dyDescent="0.3">
      <c r="A49" s="30"/>
      <c r="B49" s="30"/>
      <c r="C49" s="30"/>
      <c r="D49" s="30"/>
      <c r="E49" s="30"/>
      <c r="F49" s="46"/>
      <c r="G49" s="46"/>
      <c r="H49" s="30"/>
      <c r="I49" s="30"/>
      <c r="J49" s="30"/>
      <c r="K49" s="30"/>
      <c r="L49" s="30"/>
      <c r="M49" s="30"/>
      <c r="N49" s="46"/>
      <c r="O49" s="30"/>
      <c r="P49" s="30"/>
      <c r="Q49" s="46"/>
      <c r="R49" s="30"/>
      <c r="S49" s="30"/>
      <c r="T49" s="46"/>
      <c r="U49" s="30"/>
      <c r="V49" s="30"/>
      <c r="W49" s="46"/>
      <c r="X49" s="30"/>
      <c r="Y49" s="46"/>
      <c r="Z49" s="30">
        <v>48</v>
      </c>
      <c r="AB49" s="30"/>
      <c r="AC49" s="30"/>
      <c r="AD49" s="30"/>
    </row>
    <row r="50" spans="1:30" x14ac:dyDescent="0.3">
      <c r="A50" s="30"/>
      <c r="B50" s="30"/>
      <c r="C50" s="30"/>
      <c r="D50" s="30"/>
      <c r="E50" s="30"/>
      <c r="F50" s="46"/>
      <c r="G50" s="46"/>
      <c r="H50" s="30"/>
      <c r="I50" s="30"/>
      <c r="J50" s="30"/>
      <c r="K50" s="30"/>
      <c r="L50" s="30"/>
      <c r="M50" s="30"/>
      <c r="N50" s="46"/>
      <c r="O50" s="30"/>
      <c r="P50" s="30"/>
      <c r="Q50" s="46"/>
      <c r="R50" s="30"/>
      <c r="S50" s="30"/>
      <c r="T50" s="46"/>
      <c r="U50" s="30"/>
      <c r="V50" s="30"/>
      <c r="W50" s="46"/>
      <c r="X50" s="30"/>
      <c r="Y50" s="46"/>
      <c r="Z50" s="30">
        <v>49</v>
      </c>
      <c r="AB50" s="30"/>
      <c r="AC50" s="30"/>
      <c r="AD50" s="30"/>
    </row>
    <row r="51" spans="1:30" x14ac:dyDescent="0.3">
      <c r="A51" s="30"/>
      <c r="B51" s="30"/>
      <c r="C51" s="30"/>
      <c r="D51" s="30"/>
      <c r="E51" s="30"/>
      <c r="F51" s="46"/>
      <c r="G51" s="46"/>
      <c r="H51" s="30"/>
      <c r="I51" s="30"/>
      <c r="J51" s="30"/>
      <c r="K51" s="30"/>
      <c r="L51" s="30"/>
      <c r="M51" s="30"/>
      <c r="N51" s="46"/>
      <c r="O51" s="30"/>
      <c r="P51" s="30"/>
      <c r="Q51" s="46"/>
      <c r="R51" s="30"/>
      <c r="S51" s="30"/>
      <c r="T51" s="46"/>
      <c r="U51" s="30"/>
      <c r="V51" s="30"/>
      <c r="W51" s="46"/>
      <c r="X51" s="30"/>
      <c r="Y51" s="46"/>
      <c r="Z51" s="30">
        <v>50</v>
      </c>
      <c r="AB51" s="30"/>
      <c r="AC51" s="30"/>
      <c r="AD51" s="30"/>
    </row>
    <row r="52" spans="1:30" x14ac:dyDescent="0.3">
      <c r="A52" s="30"/>
      <c r="B52" s="30"/>
      <c r="C52" s="30"/>
      <c r="D52" s="30"/>
      <c r="E52" s="30"/>
      <c r="F52" s="46"/>
      <c r="G52" s="46"/>
      <c r="H52" s="30"/>
      <c r="I52" s="30"/>
      <c r="J52" s="30"/>
      <c r="K52" s="30"/>
      <c r="L52" s="30"/>
      <c r="M52" s="30"/>
      <c r="N52" s="46"/>
      <c r="O52" s="30"/>
      <c r="P52" s="30"/>
      <c r="Q52" s="46"/>
      <c r="R52" s="30"/>
      <c r="S52" s="30"/>
      <c r="T52" s="46"/>
      <c r="U52" s="30"/>
      <c r="V52" s="30"/>
      <c r="W52" s="46"/>
      <c r="X52" s="30"/>
      <c r="Y52" s="46"/>
      <c r="Z52" s="30">
        <v>51</v>
      </c>
      <c r="AB52" s="30"/>
      <c r="AC52" s="30"/>
      <c r="AD52" s="30"/>
    </row>
    <row r="53" spans="1:30" x14ac:dyDescent="0.3">
      <c r="A53" s="30"/>
      <c r="B53" s="30"/>
      <c r="C53" s="30"/>
      <c r="D53" s="30"/>
      <c r="E53" s="30"/>
      <c r="F53" s="46"/>
      <c r="G53" s="46"/>
      <c r="H53" s="30"/>
      <c r="I53" s="30"/>
      <c r="J53" s="30"/>
      <c r="K53" s="30"/>
      <c r="L53" s="30"/>
      <c r="M53" s="30"/>
      <c r="N53" s="46"/>
      <c r="O53" s="30"/>
      <c r="P53" s="30"/>
      <c r="Q53" s="46"/>
      <c r="R53" s="30"/>
      <c r="S53" s="30"/>
      <c r="T53" s="46"/>
      <c r="U53" s="30"/>
      <c r="V53" s="30"/>
      <c r="W53" s="46"/>
      <c r="X53" s="30"/>
      <c r="Y53" s="46"/>
      <c r="Z53" s="30">
        <v>52</v>
      </c>
      <c r="AA53" s="30"/>
      <c r="AB53" s="30"/>
      <c r="AC53" s="30"/>
      <c r="AD53" s="30"/>
    </row>
    <row r="54" spans="1:30" x14ac:dyDescent="0.3">
      <c r="A54" s="30"/>
      <c r="B54" s="30"/>
      <c r="C54" s="30"/>
      <c r="D54" s="30"/>
      <c r="E54" s="30"/>
      <c r="F54" s="46"/>
      <c r="G54" s="46"/>
      <c r="H54" s="30"/>
      <c r="I54" s="30"/>
      <c r="J54" s="30"/>
      <c r="K54" s="30"/>
      <c r="L54" s="30"/>
      <c r="M54" s="30"/>
      <c r="N54" s="46"/>
      <c r="O54" s="30"/>
      <c r="P54" s="30"/>
      <c r="Q54" s="46"/>
      <c r="R54" s="30"/>
      <c r="S54" s="30"/>
      <c r="T54" s="46"/>
      <c r="U54" s="30"/>
      <c r="V54" s="30"/>
      <c r="W54" s="46"/>
      <c r="X54" s="30"/>
      <c r="Y54" s="46"/>
      <c r="Z54" s="30">
        <v>53</v>
      </c>
      <c r="AA54" s="30"/>
      <c r="AB54" s="30"/>
      <c r="AC54" s="30"/>
      <c r="AD54" s="30"/>
    </row>
    <row r="55" spans="1:30" x14ac:dyDescent="0.3">
      <c r="A55" s="30"/>
      <c r="B55" s="30"/>
      <c r="C55" s="30"/>
      <c r="D55" s="30"/>
      <c r="E55" s="30"/>
      <c r="F55" s="46"/>
      <c r="G55" s="46"/>
      <c r="H55" s="30"/>
      <c r="I55" s="30"/>
      <c r="J55" s="30"/>
      <c r="K55" s="30"/>
      <c r="L55" s="30"/>
      <c r="M55" s="30"/>
      <c r="N55" s="46"/>
      <c r="O55" s="30"/>
      <c r="P55" s="30"/>
      <c r="Q55" s="46"/>
      <c r="R55" s="30"/>
      <c r="S55" s="30"/>
      <c r="T55" s="46"/>
      <c r="U55" s="30"/>
      <c r="V55" s="30"/>
      <c r="W55" s="46"/>
      <c r="X55" s="30"/>
      <c r="Y55" s="46"/>
      <c r="Z55" s="30">
        <v>54</v>
      </c>
      <c r="AA55" s="30"/>
      <c r="AB55" s="30"/>
      <c r="AC55" s="30"/>
      <c r="AD55" s="30"/>
    </row>
    <row r="56" spans="1:30" x14ac:dyDescent="0.3">
      <c r="A56" s="30"/>
      <c r="B56" s="30"/>
      <c r="C56" s="30"/>
      <c r="D56" s="30"/>
      <c r="E56" s="30"/>
      <c r="F56" s="46"/>
      <c r="G56" s="46"/>
      <c r="H56" s="30"/>
      <c r="I56" s="30"/>
      <c r="J56" s="30"/>
      <c r="K56" s="30"/>
      <c r="L56" s="30"/>
      <c r="M56" s="30"/>
      <c r="N56" s="46"/>
      <c r="O56" s="30"/>
      <c r="P56" s="30"/>
      <c r="Q56" s="46"/>
      <c r="R56" s="30"/>
      <c r="S56" s="30"/>
      <c r="T56" s="46"/>
      <c r="U56" s="30"/>
      <c r="V56" s="30"/>
      <c r="W56" s="46"/>
      <c r="X56" s="30"/>
      <c r="Y56" s="46"/>
      <c r="Z56" s="30">
        <v>55</v>
      </c>
      <c r="AA56" s="30"/>
      <c r="AB56" s="30"/>
      <c r="AC56" s="30"/>
      <c r="AD56" s="30"/>
    </row>
    <row r="57" spans="1:30" x14ac:dyDescent="0.3">
      <c r="A57" s="30"/>
      <c r="B57" s="30"/>
      <c r="C57" s="30"/>
      <c r="D57" s="30"/>
      <c r="E57" s="30"/>
      <c r="F57" s="46"/>
      <c r="G57" s="46"/>
      <c r="H57" s="30"/>
      <c r="I57" s="30"/>
      <c r="J57" s="30"/>
      <c r="K57" s="30"/>
      <c r="L57" s="30"/>
      <c r="M57" s="30"/>
      <c r="N57" s="46"/>
      <c r="O57" s="30"/>
      <c r="P57" s="30"/>
      <c r="Q57" s="46"/>
      <c r="R57" s="30"/>
      <c r="S57" s="30"/>
      <c r="T57" s="46"/>
      <c r="U57" s="30"/>
      <c r="V57" s="30"/>
      <c r="W57" s="46"/>
      <c r="X57" s="30"/>
      <c r="Y57" s="46"/>
      <c r="Z57" s="30">
        <v>56</v>
      </c>
      <c r="AA57" s="30"/>
      <c r="AB57" s="30"/>
      <c r="AC57" s="30"/>
      <c r="AD57" s="30"/>
    </row>
    <row r="58" spans="1:30" x14ac:dyDescent="0.3">
      <c r="A58" s="30"/>
      <c r="B58" s="30"/>
      <c r="C58" s="30"/>
      <c r="D58" s="30"/>
      <c r="E58" s="30"/>
      <c r="F58" s="46"/>
      <c r="G58" s="46"/>
      <c r="H58" s="30"/>
      <c r="I58" s="30"/>
      <c r="J58" s="30"/>
      <c r="K58" s="30"/>
      <c r="L58" s="30"/>
      <c r="M58" s="30"/>
      <c r="N58" s="46"/>
      <c r="O58" s="30"/>
      <c r="P58" s="30"/>
      <c r="Q58" s="46"/>
      <c r="R58" s="30"/>
      <c r="S58" s="30"/>
      <c r="T58" s="46"/>
      <c r="U58" s="30"/>
      <c r="V58" s="30"/>
      <c r="W58" s="46"/>
      <c r="X58" s="30"/>
      <c r="Y58" s="46"/>
      <c r="Z58" s="30">
        <v>57</v>
      </c>
      <c r="AA58" s="30"/>
      <c r="AB58" s="30"/>
      <c r="AC58" s="30"/>
      <c r="AD58" s="30"/>
    </row>
    <row r="59" spans="1:30" x14ac:dyDescent="0.3">
      <c r="A59" s="30"/>
      <c r="B59" s="30"/>
      <c r="C59" s="30"/>
      <c r="D59" s="30"/>
      <c r="E59" s="30"/>
      <c r="F59" s="46"/>
      <c r="G59" s="46"/>
      <c r="H59" s="30"/>
      <c r="I59" s="30"/>
      <c r="J59" s="30"/>
      <c r="K59" s="30"/>
      <c r="L59" s="30"/>
      <c r="M59" s="30"/>
      <c r="N59" s="46"/>
      <c r="O59" s="30"/>
      <c r="P59" s="30"/>
      <c r="Q59" s="46"/>
      <c r="R59" s="30"/>
      <c r="S59" s="30"/>
      <c r="T59" s="46"/>
      <c r="U59" s="30"/>
      <c r="V59" s="30"/>
      <c r="W59" s="46"/>
      <c r="X59" s="30"/>
      <c r="Y59" s="46"/>
      <c r="Z59" s="30">
        <v>58</v>
      </c>
      <c r="AA59" s="30"/>
      <c r="AB59" s="30"/>
      <c r="AC59" s="30"/>
      <c r="AD59" s="30"/>
    </row>
    <row r="60" spans="1:30" x14ac:dyDescent="0.3">
      <c r="A60" s="30"/>
      <c r="B60" s="30"/>
      <c r="C60" s="30"/>
      <c r="D60" s="30"/>
      <c r="E60" s="30"/>
      <c r="F60" s="46"/>
      <c r="G60" s="46"/>
      <c r="H60" s="30"/>
      <c r="I60" s="30"/>
      <c r="J60" s="30"/>
      <c r="K60" s="30"/>
      <c r="L60" s="30"/>
      <c r="M60" s="30"/>
      <c r="N60" s="46"/>
      <c r="O60" s="30"/>
      <c r="P60" s="30"/>
      <c r="Q60" s="46"/>
      <c r="R60" s="30"/>
      <c r="S60" s="30"/>
      <c r="T60" s="46"/>
      <c r="U60" s="30"/>
      <c r="V60" s="30"/>
      <c r="W60" s="46"/>
      <c r="X60" s="30"/>
      <c r="Y60" s="46"/>
      <c r="Z60" s="30">
        <v>59</v>
      </c>
      <c r="AA60" s="30"/>
      <c r="AB60" s="30"/>
      <c r="AC60" s="30"/>
      <c r="AD60" s="30"/>
    </row>
    <row r="61" spans="1:30" x14ac:dyDescent="0.3">
      <c r="A61" s="30"/>
      <c r="B61" s="30"/>
      <c r="C61" s="30"/>
      <c r="D61" s="30"/>
      <c r="E61" s="30"/>
      <c r="F61" s="46"/>
      <c r="G61" s="46"/>
      <c r="H61" s="30"/>
      <c r="I61" s="30"/>
      <c r="J61" s="30"/>
      <c r="K61" s="30"/>
      <c r="L61" s="30"/>
      <c r="M61" s="30"/>
      <c r="N61" s="46"/>
      <c r="O61" s="30"/>
      <c r="P61" s="30"/>
      <c r="Q61" s="46"/>
      <c r="R61" s="30"/>
      <c r="S61" s="30"/>
      <c r="T61" s="46"/>
      <c r="U61" s="30"/>
      <c r="V61" s="30"/>
      <c r="W61" s="46"/>
      <c r="X61" s="30"/>
      <c r="Y61" s="46"/>
      <c r="Z61" s="30">
        <v>60</v>
      </c>
      <c r="AA61" s="30"/>
      <c r="AB61" s="30"/>
      <c r="AC61" s="30"/>
      <c r="AD61" s="30"/>
    </row>
    <row r="62" spans="1:30" x14ac:dyDescent="0.3">
      <c r="A62" s="30"/>
      <c r="B62" s="30"/>
      <c r="C62" s="30"/>
      <c r="D62" s="30"/>
      <c r="E62" s="30"/>
      <c r="F62" s="46"/>
      <c r="G62" s="46"/>
      <c r="H62" s="30"/>
      <c r="I62" s="30"/>
      <c r="J62" s="30"/>
      <c r="K62" s="30"/>
      <c r="L62" s="30"/>
      <c r="M62" s="30"/>
      <c r="N62" s="46"/>
      <c r="O62" s="30"/>
      <c r="P62" s="30"/>
      <c r="Q62" s="46"/>
      <c r="R62" s="30"/>
      <c r="S62" s="30"/>
      <c r="T62" s="46"/>
      <c r="U62" s="30"/>
      <c r="V62" s="30"/>
      <c r="W62" s="46"/>
      <c r="X62" s="30"/>
      <c r="Y62" s="46"/>
      <c r="Z62" s="30">
        <v>61</v>
      </c>
      <c r="AA62" s="30"/>
      <c r="AB62" s="30"/>
      <c r="AC62" s="30"/>
      <c r="AD62" s="30"/>
    </row>
    <row r="63" spans="1:30" x14ac:dyDescent="0.3">
      <c r="A63" s="30"/>
      <c r="B63" s="30"/>
      <c r="C63" s="30"/>
      <c r="D63" s="30"/>
      <c r="E63" s="30"/>
      <c r="F63" s="46"/>
      <c r="G63" s="46"/>
      <c r="H63" s="30"/>
      <c r="I63" s="30"/>
      <c r="J63" s="30"/>
      <c r="K63" s="30"/>
      <c r="L63" s="30"/>
      <c r="M63" s="30"/>
      <c r="N63" s="46"/>
      <c r="O63" s="30"/>
      <c r="P63" s="30"/>
      <c r="Q63" s="46"/>
      <c r="R63" s="30"/>
      <c r="S63" s="30"/>
      <c r="T63" s="46"/>
      <c r="U63" s="30"/>
      <c r="V63" s="30"/>
      <c r="W63" s="46"/>
      <c r="X63" s="30"/>
      <c r="Y63" s="46"/>
      <c r="Z63" s="30">
        <v>62</v>
      </c>
      <c r="AA63" s="30"/>
      <c r="AB63" s="30"/>
      <c r="AC63" s="30"/>
      <c r="AD63" s="30"/>
    </row>
    <row r="64" spans="1:30" x14ac:dyDescent="0.3">
      <c r="A64" s="30"/>
      <c r="B64" s="30"/>
      <c r="C64" s="30"/>
      <c r="D64" s="30"/>
      <c r="E64" s="30"/>
      <c r="F64" s="46"/>
      <c r="G64" s="46"/>
      <c r="H64" s="30"/>
      <c r="I64" s="30"/>
      <c r="J64" s="30"/>
      <c r="K64" s="30"/>
      <c r="L64" s="30"/>
      <c r="M64" s="30"/>
      <c r="N64" s="46"/>
      <c r="O64" s="30"/>
      <c r="P64" s="30"/>
      <c r="Q64" s="46"/>
      <c r="R64" s="30"/>
      <c r="S64" s="30"/>
      <c r="T64" s="46"/>
      <c r="U64" s="30"/>
      <c r="V64" s="30"/>
      <c r="W64" s="46"/>
      <c r="X64" s="30"/>
      <c r="Y64" s="46"/>
      <c r="Z64" s="30">
        <v>63</v>
      </c>
      <c r="AA64" s="30"/>
      <c r="AB64" s="30"/>
      <c r="AC64" s="30"/>
      <c r="AD64" s="30"/>
    </row>
    <row r="65" spans="1:30" x14ac:dyDescent="0.3">
      <c r="A65" s="30"/>
      <c r="B65" s="30"/>
      <c r="C65" s="30"/>
      <c r="D65" s="30"/>
      <c r="E65" s="30"/>
      <c r="F65" s="46"/>
      <c r="G65" s="46"/>
      <c r="H65" s="30"/>
      <c r="I65" s="30"/>
      <c r="J65" s="30"/>
      <c r="K65" s="30"/>
      <c r="L65" s="30"/>
      <c r="M65" s="30"/>
      <c r="N65" s="46"/>
      <c r="O65" s="30"/>
      <c r="P65" s="30"/>
      <c r="Q65" s="46"/>
      <c r="R65" s="30"/>
      <c r="S65" s="30"/>
      <c r="T65" s="46"/>
      <c r="U65" s="30"/>
      <c r="V65" s="30"/>
      <c r="W65" s="46"/>
      <c r="X65" s="30"/>
      <c r="Y65" s="46"/>
      <c r="Z65" s="30">
        <v>64</v>
      </c>
      <c r="AA65" s="30"/>
      <c r="AB65" s="30"/>
      <c r="AC65" s="30"/>
      <c r="AD65" s="30"/>
    </row>
    <row r="66" spans="1:30" x14ac:dyDescent="0.3">
      <c r="A66" s="30"/>
      <c r="B66" s="30"/>
      <c r="C66" s="30"/>
      <c r="D66" s="30"/>
      <c r="E66" s="30"/>
      <c r="F66" s="46"/>
      <c r="G66" s="46"/>
      <c r="H66" s="30"/>
      <c r="I66" s="30"/>
      <c r="J66" s="30"/>
      <c r="K66" s="30"/>
      <c r="L66" s="30"/>
      <c r="M66" s="30"/>
      <c r="N66" s="46"/>
      <c r="O66" s="30"/>
      <c r="P66" s="30"/>
      <c r="Q66" s="46"/>
      <c r="R66" s="30"/>
      <c r="S66" s="30"/>
      <c r="T66" s="46"/>
      <c r="U66" s="30"/>
      <c r="V66" s="30"/>
      <c r="W66" s="46"/>
      <c r="X66" s="30"/>
      <c r="Y66" s="46"/>
      <c r="Z66" s="30">
        <v>65</v>
      </c>
      <c r="AA66" s="30"/>
      <c r="AB66" s="30"/>
      <c r="AC66" s="30"/>
      <c r="AD66" s="30"/>
    </row>
    <row r="67" spans="1:30" x14ac:dyDescent="0.3">
      <c r="A67" s="30"/>
      <c r="B67" s="30"/>
      <c r="C67" s="30"/>
      <c r="D67" s="30"/>
      <c r="E67" s="30"/>
      <c r="F67" s="46"/>
      <c r="G67" s="46"/>
      <c r="H67" s="30"/>
      <c r="I67" s="30"/>
      <c r="J67" s="30"/>
      <c r="K67" s="30"/>
      <c r="L67" s="30"/>
      <c r="M67" s="30"/>
      <c r="N67" s="46"/>
      <c r="O67" s="30"/>
      <c r="P67" s="30"/>
      <c r="Q67" s="46"/>
      <c r="R67" s="30"/>
      <c r="S67" s="30"/>
      <c r="T67" s="46"/>
      <c r="U67" s="30"/>
      <c r="V67" s="30"/>
      <c r="W67" s="46"/>
      <c r="X67" s="30"/>
      <c r="Y67" s="46"/>
      <c r="Z67" s="30">
        <v>66</v>
      </c>
      <c r="AA67" s="30"/>
      <c r="AB67" s="30"/>
      <c r="AC67" s="30"/>
      <c r="AD67" s="30"/>
    </row>
    <row r="68" spans="1:30" x14ac:dyDescent="0.3">
      <c r="A68" s="30"/>
      <c r="B68" s="30"/>
      <c r="C68" s="30"/>
      <c r="D68" s="30"/>
      <c r="E68" s="30"/>
      <c r="F68" s="46"/>
      <c r="G68" s="46"/>
      <c r="H68" s="30"/>
      <c r="I68" s="30"/>
      <c r="J68" s="30"/>
      <c r="K68" s="30"/>
      <c r="L68" s="30"/>
      <c r="M68" s="30"/>
      <c r="N68" s="46"/>
      <c r="O68" s="30"/>
      <c r="P68" s="30"/>
      <c r="Q68" s="46"/>
      <c r="R68" s="30"/>
      <c r="S68" s="30"/>
      <c r="T68" s="46"/>
      <c r="U68" s="30"/>
      <c r="V68" s="30"/>
      <c r="W68" s="46"/>
      <c r="X68" s="30"/>
      <c r="Y68" s="46"/>
      <c r="Z68" s="30">
        <v>67</v>
      </c>
      <c r="AA68" s="30"/>
      <c r="AB68" s="30"/>
      <c r="AC68" s="30"/>
      <c r="AD68" s="30"/>
    </row>
    <row r="69" spans="1:30" x14ac:dyDescent="0.3">
      <c r="A69" s="30"/>
      <c r="B69" s="30"/>
      <c r="C69" s="30"/>
      <c r="D69" s="30"/>
      <c r="E69" s="30"/>
      <c r="F69" s="46"/>
      <c r="G69" s="46"/>
      <c r="H69" s="30"/>
      <c r="I69" s="30"/>
      <c r="J69" s="30"/>
      <c r="K69" s="30"/>
      <c r="L69" s="30"/>
      <c r="M69" s="30"/>
      <c r="N69" s="46"/>
      <c r="O69" s="30"/>
      <c r="P69" s="30"/>
      <c r="Q69" s="46"/>
      <c r="R69" s="30"/>
      <c r="S69" s="30"/>
      <c r="T69" s="46"/>
      <c r="U69" s="30"/>
      <c r="V69" s="30"/>
      <c r="W69" s="46"/>
      <c r="X69" s="30"/>
      <c r="Y69" s="46"/>
      <c r="Z69" s="30">
        <v>68</v>
      </c>
      <c r="AA69" s="30"/>
      <c r="AB69" s="30"/>
      <c r="AC69" s="30"/>
      <c r="AD69" s="30"/>
    </row>
    <row r="70" spans="1:30" x14ac:dyDescent="0.3">
      <c r="A70" s="30"/>
      <c r="B70" s="30"/>
      <c r="C70" s="30"/>
      <c r="D70" s="30"/>
      <c r="E70" s="30"/>
      <c r="F70" s="46"/>
      <c r="G70" s="46"/>
      <c r="H70" s="30"/>
      <c r="I70" s="30"/>
      <c r="J70" s="30"/>
      <c r="K70" s="30"/>
      <c r="L70" s="30"/>
      <c r="M70" s="30"/>
      <c r="N70" s="46"/>
      <c r="O70" s="30"/>
      <c r="P70" s="30"/>
      <c r="Q70" s="46"/>
      <c r="R70" s="30"/>
      <c r="S70" s="30"/>
      <c r="T70" s="46"/>
      <c r="U70" s="30"/>
      <c r="V70" s="30"/>
      <c r="W70" s="46"/>
      <c r="X70" s="30"/>
      <c r="Y70" s="46"/>
      <c r="Z70" s="30">
        <v>69</v>
      </c>
      <c r="AA70" s="30"/>
      <c r="AB70" s="30"/>
      <c r="AC70" s="30"/>
      <c r="AD70" s="30"/>
    </row>
    <row r="71" spans="1:30" x14ac:dyDescent="0.3">
      <c r="A71" s="30"/>
      <c r="B71" s="30"/>
      <c r="C71" s="30"/>
      <c r="D71" s="30"/>
      <c r="E71" s="30"/>
      <c r="F71" s="46"/>
      <c r="G71" s="46"/>
      <c r="H71" s="30"/>
      <c r="I71" s="30"/>
      <c r="J71" s="30"/>
      <c r="K71" s="30"/>
      <c r="L71" s="30"/>
      <c r="M71" s="30"/>
      <c r="N71" s="46"/>
      <c r="O71" s="30"/>
      <c r="P71" s="30"/>
      <c r="Q71" s="46"/>
      <c r="R71" s="30"/>
      <c r="S71" s="30"/>
      <c r="T71" s="46"/>
      <c r="U71" s="30"/>
      <c r="V71" s="30"/>
      <c r="W71" s="46"/>
      <c r="X71" s="30"/>
      <c r="Y71" s="46"/>
      <c r="Z71" s="30">
        <v>70</v>
      </c>
      <c r="AA71" s="30"/>
      <c r="AB71" s="30"/>
      <c r="AC71" s="30"/>
      <c r="AD71" s="30"/>
    </row>
    <row r="72" spans="1:30" x14ac:dyDescent="0.3">
      <c r="A72" s="30"/>
      <c r="B72" s="30"/>
      <c r="C72" s="30"/>
      <c r="D72" s="30"/>
      <c r="E72" s="30"/>
      <c r="F72" s="46"/>
      <c r="G72" s="46"/>
      <c r="H72" s="30"/>
      <c r="I72" s="30"/>
      <c r="J72" s="30"/>
      <c r="K72" s="30"/>
      <c r="L72" s="30"/>
      <c r="M72" s="30"/>
      <c r="N72" s="46"/>
      <c r="O72" s="30"/>
      <c r="P72" s="30"/>
      <c r="Q72" s="46"/>
      <c r="R72" s="30"/>
      <c r="S72" s="30"/>
      <c r="T72" s="46"/>
      <c r="U72" s="30"/>
      <c r="V72" s="30"/>
      <c r="W72" s="46"/>
      <c r="X72" s="30"/>
      <c r="Y72" s="46"/>
      <c r="Z72" s="30">
        <v>71</v>
      </c>
      <c r="AA72" s="30"/>
      <c r="AB72" s="30"/>
      <c r="AC72" s="30"/>
      <c r="AD72" s="30"/>
    </row>
    <row r="73" spans="1:30" x14ac:dyDescent="0.3">
      <c r="A73" s="30"/>
      <c r="B73" s="30"/>
      <c r="C73" s="30"/>
      <c r="D73" s="30"/>
      <c r="E73" s="30"/>
      <c r="F73" s="46"/>
      <c r="G73" s="46"/>
      <c r="H73" s="30"/>
      <c r="I73" s="30"/>
      <c r="J73" s="30"/>
      <c r="K73" s="30"/>
      <c r="L73" s="30"/>
      <c r="M73" s="30"/>
      <c r="N73" s="46"/>
      <c r="O73" s="30"/>
      <c r="P73" s="30"/>
      <c r="Q73" s="46"/>
      <c r="R73" s="30"/>
      <c r="S73" s="30"/>
      <c r="T73" s="46"/>
      <c r="U73" s="30"/>
      <c r="V73" s="30"/>
      <c r="W73" s="46"/>
      <c r="X73" s="30"/>
      <c r="Y73" s="46"/>
      <c r="Z73" s="30">
        <v>72</v>
      </c>
      <c r="AA73" s="30"/>
      <c r="AB73" s="30"/>
      <c r="AC73" s="30"/>
      <c r="AD73" s="30"/>
    </row>
    <row r="74" spans="1:30" x14ac:dyDescent="0.3">
      <c r="A74" s="30"/>
      <c r="B74" s="30"/>
      <c r="C74" s="30"/>
      <c r="D74" s="30"/>
      <c r="E74" s="30"/>
      <c r="F74" s="46"/>
      <c r="G74" s="46"/>
      <c r="H74" s="30"/>
      <c r="I74" s="30"/>
      <c r="J74" s="30"/>
      <c r="K74" s="30"/>
      <c r="L74" s="30"/>
      <c r="M74" s="30"/>
      <c r="N74" s="46"/>
      <c r="O74" s="30"/>
      <c r="P74" s="30"/>
      <c r="Q74" s="46"/>
      <c r="R74" s="30"/>
      <c r="S74" s="30"/>
      <c r="T74" s="46"/>
      <c r="U74" s="30"/>
      <c r="V74" s="30"/>
      <c r="W74" s="46"/>
      <c r="X74" s="30"/>
      <c r="Y74" s="46"/>
      <c r="Z74" s="30">
        <v>73</v>
      </c>
      <c r="AA74" s="30"/>
      <c r="AB74" s="30"/>
      <c r="AC74" s="30"/>
      <c r="AD74" s="30"/>
    </row>
    <row r="75" spans="1:30" x14ac:dyDescent="0.3">
      <c r="A75" s="30"/>
      <c r="B75" s="30"/>
      <c r="C75" s="30"/>
      <c r="D75" s="30"/>
      <c r="E75" s="30"/>
      <c r="F75" s="46"/>
      <c r="G75" s="46"/>
      <c r="H75" s="30"/>
      <c r="I75" s="30"/>
      <c r="J75" s="30"/>
      <c r="K75" s="30"/>
      <c r="L75" s="30"/>
      <c r="M75" s="30"/>
      <c r="N75" s="46"/>
      <c r="O75" s="30"/>
      <c r="P75" s="30"/>
      <c r="Q75" s="46"/>
      <c r="R75" s="30"/>
      <c r="S75" s="30"/>
      <c r="T75" s="46"/>
      <c r="U75" s="30"/>
      <c r="V75" s="30"/>
      <c r="W75" s="46"/>
      <c r="X75" s="30"/>
      <c r="Y75" s="46"/>
      <c r="Z75" s="30">
        <v>74</v>
      </c>
      <c r="AA75" s="30"/>
      <c r="AB75" s="30"/>
      <c r="AC75" s="30"/>
      <c r="AD75" s="30"/>
    </row>
    <row r="76" spans="1:30" x14ac:dyDescent="0.3">
      <c r="A76" s="30"/>
      <c r="B76" s="30"/>
      <c r="C76" s="30"/>
      <c r="D76" s="30"/>
      <c r="E76" s="30"/>
      <c r="F76" s="46"/>
      <c r="G76" s="46"/>
      <c r="H76" s="30"/>
      <c r="I76" s="30"/>
      <c r="J76" s="30"/>
      <c r="K76" s="30"/>
      <c r="L76" s="30"/>
      <c r="M76" s="30"/>
      <c r="N76" s="46"/>
      <c r="O76" s="30"/>
      <c r="P76" s="30"/>
      <c r="Q76" s="46"/>
      <c r="R76" s="30"/>
      <c r="S76" s="30"/>
      <c r="T76" s="46"/>
      <c r="U76" s="30"/>
      <c r="V76" s="30"/>
      <c r="W76" s="46"/>
      <c r="X76" s="30"/>
      <c r="Y76" s="46"/>
      <c r="Z76" s="30">
        <v>75</v>
      </c>
      <c r="AA76" s="30"/>
      <c r="AB76" s="30"/>
      <c r="AC76" s="30"/>
      <c r="AD76" s="30"/>
    </row>
    <row r="77" spans="1:30" x14ac:dyDescent="0.3">
      <c r="A77" s="30"/>
      <c r="B77" s="30"/>
      <c r="C77" s="30"/>
      <c r="D77" s="30"/>
      <c r="E77" s="30"/>
      <c r="F77" s="46"/>
      <c r="G77" s="46"/>
      <c r="H77" s="30"/>
      <c r="I77" s="30"/>
      <c r="J77" s="30"/>
      <c r="K77" s="30"/>
      <c r="L77" s="30"/>
      <c r="M77" s="30"/>
      <c r="N77" s="46"/>
      <c r="O77" s="30"/>
      <c r="P77" s="30"/>
      <c r="Q77" s="46"/>
      <c r="R77" s="30"/>
      <c r="S77" s="30"/>
      <c r="T77" s="46"/>
      <c r="U77" s="30"/>
      <c r="V77" s="30"/>
      <c r="W77" s="46"/>
      <c r="X77" s="30"/>
      <c r="Y77" s="46"/>
      <c r="Z77" s="30">
        <v>76</v>
      </c>
      <c r="AA77" s="30"/>
      <c r="AB77" s="30"/>
      <c r="AC77" s="30"/>
      <c r="AD77" s="30"/>
    </row>
    <row r="78" spans="1:30" x14ac:dyDescent="0.3">
      <c r="A78" s="30"/>
      <c r="B78" s="30"/>
      <c r="C78" s="30"/>
      <c r="D78" s="30"/>
      <c r="E78" s="30"/>
      <c r="F78" s="46"/>
      <c r="G78" s="46"/>
      <c r="H78" s="30"/>
      <c r="I78" s="30"/>
      <c r="J78" s="30"/>
      <c r="K78" s="30"/>
      <c r="L78" s="30"/>
      <c r="M78" s="30"/>
      <c r="N78" s="46"/>
      <c r="O78" s="30"/>
      <c r="P78" s="30"/>
      <c r="Q78" s="46"/>
      <c r="R78" s="30"/>
      <c r="S78" s="30"/>
      <c r="T78" s="46"/>
      <c r="U78" s="30"/>
      <c r="V78" s="30"/>
      <c r="W78" s="46"/>
      <c r="X78" s="30"/>
      <c r="Y78" s="46"/>
      <c r="Z78" s="30">
        <v>77</v>
      </c>
      <c r="AA78" s="30"/>
      <c r="AB78" s="30"/>
      <c r="AC78" s="30"/>
      <c r="AD78" s="30"/>
    </row>
    <row r="79" spans="1:30" x14ac:dyDescent="0.3">
      <c r="A79" s="30"/>
      <c r="B79" s="30"/>
      <c r="C79" s="30"/>
      <c r="D79" s="30"/>
      <c r="E79" s="30"/>
      <c r="F79" s="46"/>
      <c r="G79" s="46"/>
      <c r="H79" s="30"/>
      <c r="I79" s="30"/>
      <c r="J79" s="30"/>
      <c r="K79" s="30"/>
      <c r="L79" s="30"/>
      <c r="M79" s="30"/>
      <c r="N79" s="46"/>
      <c r="O79" s="30"/>
      <c r="P79" s="30"/>
      <c r="Q79" s="46"/>
      <c r="R79" s="30"/>
      <c r="S79" s="30"/>
      <c r="T79" s="46"/>
      <c r="U79" s="30"/>
      <c r="V79" s="30"/>
      <c r="W79" s="46"/>
      <c r="X79" s="30"/>
      <c r="Y79" s="46"/>
      <c r="Z79" s="30">
        <v>78</v>
      </c>
      <c r="AA79" s="30"/>
      <c r="AB79" s="30"/>
      <c r="AC79" s="30"/>
      <c r="AD79" s="30"/>
    </row>
    <row r="80" spans="1:30" x14ac:dyDescent="0.3">
      <c r="A80" s="30"/>
      <c r="B80" s="30"/>
      <c r="C80" s="30"/>
      <c r="D80" s="30"/>
      <c r="E80" s="30"/>
      <c r="F80" s="46"/>
      <c r="G80" s="46"/>
      <c r="H80" s="30"/>
      <c r="I80" s="30"/>
      <c r="J80" s="30"/>
      <c r="K80" s="30"/>
      <c r="L80" s="30"/>
      <c r="M80" s="30"/>
      <c r="N80" s="46"/>
      <c r="O80" s="30"/>
      <c r="P80" s="30"/>
      <c r="Q80" s="46"/>
      <c r="R80" s="30"/>
      <c r="S80" s="30"/>
      <c r="T80" s="46"/>
      <c r="U80" s="30"/>
      <c r="V80" s="30"/>
      <c r="W80" s="46"/>
      <c r="X80" s="30"/>
      <c r="Y80" s="46"/>
      <c r="Z80" s="30">
        <v>79</v>
      </c>
      <c r="AA80" s="30"/>
      <c r="AB80" s="30"/>
      <c r="AC80" s="30"/>
      <c r="AD80" s="30"/>
    </row>
    <row r="81" spans="1:30" x14ac:dyDescent="0.3">
      <c r="A81" s="30"/>
      <c r="B81" s="30"/>
      <c r="C81" s="30"/>
      <c r="D81" s="30"/>
      <c r="E81" s="30"/>
      <c r="F81" s="46"/>
      <c r="G81" s="46"/>
      <c r="H81" s="30"/>
      <c r="I81" s="30"/>
      <c r="J81" s="30"/>
      <c r="K81" s="30"/>
      <c r="L81" s="30"/>
      <c r="M81" s="30"/>
      <c r="N81" s="46"/>
      <c r="O81" s="30"/>
      <c r="P81" s="30"/>
      <c r="Q81" s="46"/>
      <c r="R81" s="30"/>
      <c r="S81" s="30"/>
      <c r="T81" s="46"/>
      <c r="U81" s="30"/>
      <c r="V81" s="30"/>
      <c r="W81" s="46"/>
      <c r="X81" s="30"/>
      <c r="Y81" s="46"/>
      <c r="Z81" s="30">
        <v>80</v>
      </c>
      <c r="AA81" s="30"/>
      <c r="AB81" s="30"/>
      <c r="AC81" s="30"/>
      <c r="AD81" s="30"/>
    </row>
    <row r="82" spans="1:30" x14ac:dyDescent="0.3">
      <c r="A82" s="30"/>
      <c r="B82" s="30"/>
      <c r="C82" s="30"/>
      <c r="D82" s="30"/>
      <c r="E82" s="30"/>
      <c r="F82" s="46"/>
      <c r="G82" s="46"/>
      <c r="H82" s="30"/>
      <c r="I82" s="30"/>
      <c r="J82" s="30"/>
      <c r="K82" s="30"/>
      <c r="L82" s="30"/>
      <c r="M82" s="30"/>
      <c r="N82" s="46"/>
      <c r="O82" s="30"/>
      <c r="P82" s="30"/>
      <c r="Q82" s="46"/>
      <c r="R82" s="30"/>
      <c r="S82" s="30"/>
      <c r="T82" s="46"/>
      <c r="U82" s="30"/>
      <c r="V82" s="30"/>
      <c r="W82" s="46"/>
      <c r="X82" s="30"/>
      <c r="Y82" s="46"/>
      <c r="Z82" s="30">
        <v>81</v>
      </c>
      <c r="AA82" s="30"/>
      <c r="AB82" s="30"/>
      <c r="AC82" s="30"/>
      <c r="AD82" s="30"/>
    </row>
    <row r="83" spans="1:30" x14ac:dyDescent="0.3">
      <c r="A83" s="30"/>
      <c r="B83" s="30"/>
      <c r="C83" s="30"/>
      <c r="D83" s="30"/>
      <c r="E83" s="30"/>
      <c r="F83" s="46"/>
      <c r="G83" s="46"/>
      <c r="H83" s="30"/>
      <c r="I83" s="30"/>
      <c r="J83" s="30"/>
      <c r="K83" s="30"/>
      <c r="L83" s="30"/>
      <c r="M83" s="30"/>
      <c r="N83" s="46"/>
      <c r="O83" s="30"/>
      <c r="P83" s="30"/>
      <c r="Q83" s="46"/>
      <c r="R83" s="30"/>
      <c r="S83" s="30"/>
      <c r="T83" s="46"/>
      <c r="U83" s="30"/>
      <c r="V83" s="30"/>
      <c r="W83" s="46"/>
      <c r="X83" s="30"/>
      <c r="Y83" s="46"/>
      <c r="Z83" s="30">
        <v>82</v>
      </c>
      <c r="AA83" s="30"/>
      <c r="AB83" s="30"/>
      <c r="AC83" s="30"/>
      <c r="AD83" s="30"/>
    </row>
    <row r="84" spans="1:30" x14ac:dyDescent="0.3">
      <c r="A84" s="30"/>
      <c r="B84" s="30"/>
      <c r="C84" s="30"/>
      <c r="D84" s="30"/>
      <c r="E84" s="30"/>
      <c r="F84" s="46"/>
      <c r="G84" s="46"/>
      <c r="H84" s="30"/>
      <c r="I84" s="30"/>
      <c r="J84" s="30"/>
      <c r="K84" s="30"/>
      <c r="L84" s="30"/>
      <c r="M84" s="30"/>
      <c r="N84" s="46"/>
      <c r="O84" s="30"/>
      <c r="P84" s="30"/>
      <c r="Q84" s="46"/>
      <c r="R84" s="30"/>
      <c r="S84" s="30"/>
      <c r="T84" s="46"/>
      <c r="U84" s="30"/>
      <c r="V84" s="30"/>
      <c r="W84" s="46"/>
      <c r="X84" s="30"/>
      <c r="Y84" s="46"/>
      <c r="Z84" s="30">
        <v>83</v>
      </c>
      <c r="AA84" s="30"/>
      <c r="AB84" s="30"/>
      <c r="AC84" s="30"/>
      <c r="AD84" s="30"/>
    </row>
    <row r="85" spans="1:30" x14ac:dyDescent="0.3">
      <c r="A85" s="30"/>
      <c r="B85" s="30"/>
      <c r="C85" s="30"/>
      <c r="D85" s="30"/>
      <c r="E85" s="30"/>
      <c r="F85" s="46"/>
      <c r="G85" s="46"/>
      <c r="H85" s="30"/>
      <c r="I85" s="30"/>
      <c r="J85" s="30"/>
      <c r="K85" s="30"/>
      <c r="L85" s="30"/>
      <c r="M85" s="30"/>
      <c r="N85" s="46"/>
      <c r="O85" s="30"/>
      <c r="P85" s="30"/>
      <c r="Q85" s="46"/>
      <c r="R85" s="30"/>
      <c r="S85" s="30"/>
      <c r="T85" s="46"/>
      <c r="U85" s="30"/>
      <c r="V85" s="30"/>
      <c r="W85" s="46"/>
      <c r="X85" s="30"/>
      <c r="Y85" s="46"/>
      <c r="Z85" s="30">
        <v>84</v>
      </c>
      <c r="AA85" s="30"/>
      <c r="AB85" s="30"/>
      <c r="AC85" s="30"/>
      <c r="AD85" s="30"/>
    </row>
    <row r="86" spans="1:30" x14ac:dyDescent="0.3">
      <c r="A86" s="30"/>
      <c r="B86" s="30"/>
      <c r="C86" s="30"/>
      <c r="D86" s="30"/>
      <c r="E86" s="30"/>
      <c r="F86" s="46"/>
      <c r="G86" s="46"/>
      <c r="H86" s="30"/>
      <c r="I86" s="30"/>
      <c r="J86" s="30"/>
      <c r="K86" s="30"/>
      <c r="L86" s="30"/>
      <c r="M86" s="30"/>
      <c r="N86" s="46"/>
      <c r="O86" s="30"/>
      <c r="P86" s="30"/>
      <c r="Q86" s="46"/>
      <c r="R86" s="30"/>
      <c r="S86" s="30"/>
      <c r="T86" s="46"/>
      <c r="U86" s="30"/>
      <c r="V86" s="30"/>
      <c r="W86" s="46"/>
      <c r="X86" s="30"/>
      <c r="Y86" s="46"/>
      <c r="Z86" s="30">
        <v>85</v>
      </c>
      <c r="AA86" s="30"/>
      <c r="AB86" s="30"/>
      <c r="AC86" s="30"/>
      <c r="AD86" s="30"/>
    </row>
    <row r="87" spans="1:30" x14ac:dyDescent="0.3">
      <c r="A87" s="30"/>
      <c r="B87" s="30"/>
      <c r="C87" s="30"/>
      <c r="D87" s="30"/>
      <c r="E87" s="30"/>
      <c r="F87" s="46"/>
      <c r="G87" s="46"/>
      <c r="H87" s="30"/>
      <c r="I87" s="30"/>
      <c r="J87" s="30"/>
      <c r="K87" s="30"/>
      <c r="L87" s="30"/>
      <c r="M87" s="30"/>
      <c r="N87" s="46"/>
      <c r="O87" s="30"/>
      <c r="P87" s="30"/>
      <c r="Q87" s="46"/>
      <c r="R87" s="30"/>
      <c r="S87" s="30"/>
      <c r="T87" s="46"/>
      <c r="U87" s="30"/>
      <c r="V87" s="30"/>
      <c r="W87" s="46"/>
      <c r="X87" s="30"/>
      <c r="Y87" s="46"/>
      <c r="Z87" s="30">
        <v>86</v>
      </c>
      <c r="AA87" s="30"/>
      <c r="AB87" s="30"/>
      <c r="AC87" s="30"/>
      <c r="AD87" s="30"/>
    </row>
    <row r="88" spans="1:30" x14ac:dyDescent="0.3">
      <c r="A88" s="30"/>
      <c r="B88" s="30"/>
      <c r="C88" s="30"/>
      <c r="D88" s="30"/>
      <c r="E88" s="30"/>
      <c r="F88" s="46"/>
      <c r="G88" s="46"/>
      <c r="H88" s="30"/>
      <c r="I88" s="30"/>
      <c r="J88" s="30"/>
      <c r="K88" s="30"/>
      <c r="L88" s="30"/>
      <c r="M88" s="30"/>
      <c r="N88" s="46"/>
      <c r="O88" s="30"/>
      <c r="P88" s="30"/>
      <c r="Q88" s="46"/>
      <c r="R88" s="30"/>
      <c r="S88" s="30"/>
      <c r="T88" s="46"/>
      <c r="U88" s="30"/>
      <c r="V88" s="30"/>
      <c r="W88" s="46"/>
      <c r="X88" s="30"/>
      <c r="Y88" s="46"/>
      <c r="Z88" s="30">
        <v>87</v>
      </c>
      <c r="AA88" s="30"/>
      <c r="AB88" s="30"/>
      <c r="AC88" s="30"/>
      <c r="AD88" s="30"/>
    </row>
    <row r="89" spans="1:30" x14ac:dyDescent="0.3">
      <c r="A89" s="30"/>
      <c r="B89" s="30"/>
      <c r="C89" s="30"/>
      <c r="D89" s="30"/>
      <c r="E89" s="30"/>
      <c r="F89" s="46"/>
      <c r="G89" s="46"/>
      <c r="H89" s="30"/>
      <c r="I89" s="30"/>
      <c r="J89" s="30"/>
      <c r="K89" s="30"/>
      <c r="L89" s="30"/>
      <c r="M89" s="30"/>
      <c r="N89" s="46"/>
      <c r="O89" s="30"/>
      <c r="P89" s="30"/>
      <c r="Q89" s="46"/>
      <c r="R89" s="30"/>
      <c r="S89" s="30"/>
      <c r="T89" s="46"/>
      <c r="U89" s="30"/>
      <c r="V89" s="30"/>
      <c r="W89" s="46"/>
      <c r="X89" s="30"/>
      <c r="Y89" s="46"/>
      <c r="Z89" s="30">
        <v>88</v>
      </c>
      <c r="AA89" s="30"/>
      <c r="AB89" s="30"/>
      <c r="AC89" s="30"/>
      <c r="AD89" s="30"/>
    </row>
    <row r="90" spans="1:30" x14ac:dyDescent="0.3">
      <c r="A90" s="30"/>
      <c r="B90" s="30"/>
      <c r="C90" s="30"/>
      <c r="D90" s="30"/>
      <c r="E90" s="30"/>
      <c r="F90" s="46"/>
      <c r="G90" s="46"/>
      <c r="H90" s="30"/>
      <c r="I90" s="30"/>
      <c r="J90" s="30"/>
      <c r="K90" s="30"/>
      <c r="L90" s="30"/>
      <c r="M90" s="30"/>
      <c r="N90" s="46"/>
      <c r="O90" s="30"/>
      <c r="P90" s="30"/>
      <c r="Q90" s="46"/>
      <c r="R90" s="30"/>
      <c r="S90" s="30"/>
      <c r="T90" s="46"/>
      <c r="U90" s="30"/>
      <c r="V90" s="30"/>
      <c r="W90" s="46"/>
      <c r="X90" s="30"/>
      <c r="Y90" s="46"/>
      <c r="Z90" s="30">
        <v>89</v>
      </c>
      <c r="AA90" s="30"/>
      <c r="AB90" s="30"/>
      <c r="AC90" s="30"/>
      <c r="AD90" s="30"/>
    </row>
    <row r="91" spans="1:30" x14ac:dyDescent="0.3">
      <c r="A91" s="30"/>
      <c r="B91" s="30"/>
      <c r="C91" s="30"/>
      <c r="D91" s="30"/>
      <c r="E91" s="30"/>
      <c r="F91" s="46"/>
      <c r="G91" s="46"/>
      <c r="H91" s="30"/>
      <c r="I91" s="30"/>
      <c r="J91" s="30"/>
      <c r="K91" s="30"/>
      <c r="L91" s="30"/>
      <c r="M91" s="30"/>
      <c r="N91" s="46"/>
      <c r="O91" s="30"/>
      <c r="P91" s="30"/>
      <c r="Q91" s="46"/>
      <c r="R91" s="30"/>
      <c r="S91" s="30"/>
      <c r="T91" s="46"/>
      <c r="U91" s="30"/>
      <c r="V91" s="30"/>
      <c r="W91" s="46"/>
      <c r="X91" s="30"/>
      <c r="Y91" s="46"/>
      <c r="Z91" s="30">
        <v>90</v>
      </c>
      <c r="AA91" s="30"/>
      <c r="AB91" s="30"/>
      <c r="AC91" s="30"/>
      <c r="AD91" s="30"/>
    </row>
    <row r="92" spans="1:30" x14ac:dyDescent="0.3">
      <c r="A92" s="30"/>
      <c r="B92" s="30"/>
      <c r="C92" s="30"/>
      <c r="D92" s="30"/>
      <c r="E92" s="30"/>
      <c r="F92" s="46"/>
      <c r="G92" s="46"/>
      <c r="H92" s="30"/>
      <c r="I92" s="30"/>
      <c r="J92" s="30"/>
      <c r="K92" s="30"/>
      <c r="L92" s="30"/>
      <c r="M92" s="30"/>
      <c r="N92" s="46"/>
      <c r="O92" s="30"/>
      <c r="P92" s="30"/>
      <c r="Q92" s="46"/>
      <c r="R92" s="30"/>
      <c r="S92" s="30"/>
      <c r="T92" s="46"/>
      <c r="U92" s="30"/>
      <c r="V92" s="30"/>
      <c r="W92" s="46"/>
      <c r="X92" s="30"/>
      <c r="Y92" s="46"/>
      <c r="Z92" s="30">
        <v>91</v>
      </c>
      <c r="AA92" s="30"/>
      <c r="AB92" s="30"/>
      <c r="AC92" s="30"/>
      <c r="AD92" s="30"/>
    </row>
    <row r="93" spans="1:30" x14ac:dyDescent="0.3">
      <c r="A93" s="30"/>
      <c r="B93" s="30"/>
      <c r="C93" s="30"/>
      <c r="D93" s="30"/>
      <c r="E93" s="30"/>
      <c r="F93" s="46"/>
      <c r="G93" s="46"/>
      <c r="H93" s="30"/>
      <c r="I93" s="30"/>
      <c r="J93" s="30"/>
      <c r="K93" s="30"/>
      <c r="L93" s="30"/>
      <c r="M93" s="30"/>
      <c r="N93" s="46"/>
      <c r="O93" s="30"/>
      <c r="P93" s="30"/>
      <c r="Q93" s="46"/>
      <c r="R93" s="30"/>
      <c r="S93" s="30"/>
      <c r="T93" s="46"/>
      <c r="U93" s="30"/>
      <c r="V93" s="30"/>
      <c r="W93" s="46"/>
      <c r="X93" s="30"/>
      <c r="Y93" s="46"/>
      <c r="Z93" s="30">
        <v>92</v>
      </c>
      <c r="AA93" s="30"/>
      <c r="AB93" s="30"/>
      <c r="AC93" s="30"/>
      <c r="AD93" s="30"/>
    </row>
    <row r="94" spans="1:30" x14ac:dyDescent="0.3">
      <c r="A94" s="30"/>
      <c r="B94" s="30"/>
      <c r="C94" s="30"/>
      <c r="D94" s="30"/>
      <c r="E94" s="30"/>
      <c r="F94" s="46"/>
      <c r="G94" s="46"/>
      <c r="H94" s="30"/>
      <c r="I94" s="30"/>
      <c r="J94" s="30"/>
      <c r="K94" s="30"/>
      <c r="L94" s="30"/>
      <c r="M94" s="30"/>
      <c r="N94" s="46"/>
      <c r="O94" s="30"/>
      <c r="P94" s="30"/>
      <c r="Q94" s="46"/>
      <c r="R94" s="30"/>
      <c r="S94" s="30"/>
      <c r="T94" s="46"/>
      <c r="U94" s="30"/>
      <c r="V94" s="30"/>
      <c r="W94" s="46"/>
      <c r="X94" s="30"/>
      <c r="Y94" s="46"/>
      <c r="Z94" s="30">
        <v>93</v>
      </c>
      <c r="AA94" s="30"/>
      <c r="AB94" s="30"/>
      <c r="AC94" s="30"/>
      <c r="AD94" s="30"/>
    </row>
    <row r="95" spans="1:30" x14ac:dyDescent="0.3">
      <c r="A95" s="30"/>
      <c r="B95" s="30"/>
      <c r="C95" s="30"/>
      <c r="D95" s="30"/>
      <c r="E95" s="30"/>
      <c r="F95" s="46"/>
      <c r="G95" s="46"/>
      <c r="H95" s="30"/>
      <c r="I95" s="30"/>
      <c r="J95" s="30"/>
      <c r="K95" s="30"/>
      <c r="L95" s="30"/>
      <c r="M95" s="30"/>
      <c r="N95" s="46"/>
      <c r="O95" s="30"/>
      <c r="P95" s="30"/>
      <c r="Q95" s="46"/>
      <c r="R95" s="30"/>
      <c r="S95" s="30"/>
      <c r="T95" s="46"/>
      <c r="U95" s="30"/>
      <c r="V95" s="30"/>
      <c r="W95" s="46"/>
      <c r="X95" s="30"/>
      <c r="Y95" s="46"/>
      <c r="Z95" s="30">
        <v>94</v>
      </c>
      <c r="AA95" s="30"/>
      <c r="AB95" s="30"/>
      <c r="AC95" s="30"/>
      <c r="AD95" s="30"/>
    </row>
    <row r="96" spans="1:30" x14ac:dyDescent="0.3">
      <c r="A96" s="30"/>
      <c r="B96" s="30"/>
      <c r="C96" s="30"/>
      <c r="D96" s="30"/>
      <c r="E96" s="30"/>
      <c r="F96" s="46"/>
      <c r="G96" s="46"/>
      <c r="H96" s="30"/>
      <c r="I96" s="30"/>
      <c r="J96" s="30"/>
      <c r="K96" s="30"/>
      <c r="L96" s="30"/>
      <c r="M96" s="30"/>
      <c r="N96" s="46"/>
      <c r="O96" s="30"/>
      <c r="P96" s="30"/>
      <c r="Q96" s="46"/>
      <c r="R96" s="30"/>
      <c r="S96" s="30"/>
      <c r="T96" s="46"/>
      <c r="U96" s="30"/>
      <c r="V96" s="30"/>
      <c r="W96" s="46"/>
      <c r="X96" s="30"/>
      <c r="Y96" s="46"/>
      <c r="Z96" s="30">
        <v>95</v>
      </c>
      <c r="AA96" s="30"/>
      <c r="AB96" s="30"/>
      <c r="AC96" s="30"/>
      <c r="AD96" s="30"/>
    </row>
    <row r="97" spans="1:30" x14ac:dyDescent="0.3">
      <c r="A97" s="30"/>
      <c r="B97" s="30"/>
      <c r="C97" s="30"/>
      <c r="D97" s="30"/>
      <c r="E97" s="30"/>
      <c r="F97" s="46"/>
      <c r="G97" s="46"/>
      <c r="H97" s="30"/>
      <c r="I97" s="30"/>
      <c r="J97" s="30"/>
      <c r="K97" s="30"/>
      <c r="L97" s="30"/>
      <c r="M97" s="30"/>
      <c r="N97" s="46"/>
      <c r="O97" s="30"/>
      <c r="P97" s="30"/>
      <c r="Q97" s="46"/>
      <c r="R97" s="30"/>
      <c r="S97" s="30"/>
      <c r="T97" s="46"/>
      <c r="U97" s="30"/>
      <c r="V97" s="30"/>
      <c r="W97" s="46"/>
      <c r="X97" s="30"/>
      <c r="Y97" s="46"/>
      <c r="Z97" s="30">
        <v>96</v>
      </c>
      <c r="AA97" s="30"/>
      <c r="AB97" s="30"/>
      <c r="AC97" s="30"/>
      <c r="AD97" s="30"/>
    </row>
    <row r="98" spans="1:30" x14ac:dyDescent="0.3">
      <c r="A98" s="30"/>
      <c r="B98" s="30"/>
      <c r="C98" s="30"/>
      <c r="D98" s="30"/>
      <c r="E98" s="30"/>
      <c r="F98" s="46"/>
      <c r="G98" s="46"/>
      <c r="H98" s="30"/>
      <c r="I98" s="30"/>
      <c r="J98" s="30"/>
      <c r="K98" s="30"/>
      <c r="L98" s="30"/>
      <c r="M98" s="30"/>
      <c r="N98" s="46"/>
      <c r="O98" s="30"/>
      <c r="P98" s="30"/>
      <c r="Q98" s="46"/>
      <c r="R98" s="30"/>
      <c r="S98" s="30"/>
      <c r="T98" s="46"/>
      <c r="U98" s="30"/>
      <c r="V98" s="30"/>
      <c r="W98" s="46"/>
      <c r="X98" s="30"/>
      <c r="Y98" s="46"/>
      <c r="Z98" s="30">
        <v>97</v>
      </c>
      <c r="AA98" s="30"/>
      <c r="AB98" s="30"/>
      <c r="AC98" s="30"/>
      <c r="AD98" s="30"/>
    </row>
    <row r="99" spans="1:30" x14ac:dyDescent="0.3">
      <c r="A99" s="30"/>
      <c r="B99" s="30"/>
      <c r="C99" s="30"/>
      <c r="D99" s="30"/>
      <c r="E99" s="30"/>
      <c r="F99" s="46"/>
      <c r="G99" s="46"/>
      <c r="H99" s="30"/>
      <c r="I99" s="30"/>
      <c r="J99" s="30"/>
      <c r="K99" s="30"/>
      <c r="L99" s="30"/>
      <c r="M99" s="30"/>
      <c r="N99" s="46"/>
      <c r="O99" s="30"/>
      <c r="P99" s="30"/>
      <c r="Q99" s="46"/>
      <c r="R99" s="30"/>
      <c r="S99" s="30"/>
      <c r="T99" s="46"/>
      <c r="U99" s="30"/>
      <c r="V99" s="30"/>
      <c r="W99" s="46"/>
      <c r="X99" s="30"/>
      <c r="Y99" s="46"/>
      <c r="Z99" s="30">
        <v>98</v>
      </c>
      <c r="AA99" s="30"/>
      <c r="AB99" s="30"/>
      <c r="AC99" s="30"/>
      <c r="AD99" s="30"/>
    </row>
    <row r="100" spans="1:30" x14ac:dyDescent="0.3">
      <c r="A100" s="30"/>
      <c r="B100" s="30"/>
      <c r="C100" s="30"/>
      <c r="D100" s="30"/>
      <c r="E100" s="30"/>
      <c r="F100" s="46"/>
      <c r="G100" s="46"/>
      <c r="H100" s="30"/>
      <c r="I100" s="30"/>
      <c r="J100" s="30"/>
      <c r="K100" s="30"/>
      <c r="L100" s="30"/>
      <c r="M100" s="30"/>
      <c r="N100" s="46"/>
      <c r="O100" s="30"/>
      <c r="P100" s="30"/>
      <c r="Q100" s="46"/>
      <c r="R100" s="30"/>
      <c r="S100" s="30"/>
      <c r="T100" s="46"/>
      <c r="U100" s="30"/>
      <c r="V100" s="30"/>
      <c r="W100" s="46"/>
      <c r="X100" s="30"/>
      <c r="Y100" s="46"/>
      <c r="Z100" s="30">
        <v>99</v>
      </c>
      <c r="AA100" s="30"/>
      <c r="AB100" s="30"/>
      <c r="AC100" s="30"/>
      <c r="AD100" s="30"/>
    </row>
    <row r="101" spans="1:30" x14ac:dyDescent="0.3">
      <c r="A101" s="30"/>
      <c r="B101" s="30"/>
      <c r="C101" s="30"/>
      <c r="D101" s="30"/>
      <c r="E101" s="30"/>
      <c r="F101" s="46"/>
      <c r="G101" s="46"/>
      <c r="H101" s="30"/>
      <c r="I101" s="30"/>
      <c r="J101" s="30"/>
      <c r="K101" s="30"/>
      <c r="L101" s="30"/>
      <c r="M101" s="30"/>
      <c r="N101" s="46"/>
      <c r="O101" s="30"/>
      <c r="P101" s="30"/>
      <c r="Q101" s="46"/>
      <c r="R101" s="30"/>
      <c r="S101" s="30"/>
      <c r="T101" s="46"/>
      <c r="U101" s="30"/>
      <c r="V101" s="30"/>
      <c r="W101" s="46"/>
      <c r="X101" s="30"/>
      <c r="Y101" s="46"/>
      <c r="Z101" s="30">
        <v>100</v>
      </c>
      <c r="AA101" s="30"/>
      <c r="AB101" s="30"/>
      <c r="AC101" s="30"/>
      <c r="AD101" s="30"/>
    </row>
    <row r="102" spans="1:30" x14ac:dyDescent="0.3">
      <c r="A102" s="30"/>
      <c r="B102" s="30"/>
      <c r="C102" s="30"/>
      <c r="D102" s="30"/>
      <c r="E102" s="30"/>
      <c r="F102" s="46"/>
      <c r="G102" s="46"/>
      <c r="H102" s="30"/>
      <c r="I102" s="30"/>
      <c r="J102" s="30"/>
      <c r="K102" s="30"/>
      <c r="L102" s="30"/>
      <c r="M102" s="30"/>
      <c r="N102" s="46"/>
      <c r="O102" s="30"/>
      <c r="P102" s="30"/>
      <c r="Q102" s="46"/>
      <c r="R102" s="30"/>
      <c r="S102" s="30"/>
      <c r="T102" s="46"/>
      <c r="U102" s="30"/>
      <c r="V102" s="30"/>
      <c r="W102" s="46"/>
      <c r="X102" s="30"/>
      <c r="Y102" s="46"/>
      <c r="Z102" s="30"/>
      <c r="AA102" s="30"/>
      <c r="AB102" s="30"/>
      <c r="AC102" s="30"/>
      <c r="AD102" s="30"/>
    </row>
    <row r="103" spans="1:30" x14ac:dyDescent="0.3">
      <c r="A103" s="30"/>
      <c r="B103" s="30"/>
      <c r="C103" s="30"/>
      <c r="D103" s="30"/>
      <c r="E103" s="30"/>
      <c r="F103" s="46"/>
      <c r="G103" s="46"/>
      <c r="H103" s="30"/>
      <c r="I103" s="30"/>
      <c r="J103" s="30"/>
      <c r="K103" s="30"/>
      <c r="L103" s="30"/>
      <c r="M103" s="30"/>
      <c r="N103" s="46"/>
      <c r="O103" s="30"/>
      <c r="P103" s="30"/>
      <c r="Q103" s="46"/>
      <c r="R103" s="30"/>
      <c r="S103" s="30"/>
      <c r="T103" s="46"/>
      <c r="U103" s="30"/>
      <c r="V103" s="30"/>
      <c r="W103" s="46"/>
      <c r="X103" s="30"/>
      <c r="Y103" s="46"/>
      <c r="Z103" s="30"/>
      <c r="AA103" s="30"/>
      <c r="AB103" s="30"/>
      <c r="AC103" s="30"/>
      <c r="AD103" s="30"/>
    </row>
    <row r="104" spans="1:30" x14ac:dyDescent="0.3">
      <c r="A104" s="30"/>
      <c r="B104" s="30"/>
      <c r="C104" s="30"/>
      <c r="D104" s="30"/>
      <c r="E104" s="30"/>
      <c r="F104" s="46"/>
      <c r="G104" s="46"/>
      <c r="H104" s="30"/>
      <c r="I104" s="30"/>
      <c r="J104" s="30"/>
      <c r="K104" s="30"/>
      <c r="L104" s="30"/>
      <c r="M104" s="30"/>
      <c r="N104" s="46"/>
      <c r="O104" s="30"/>
      <c r="P104" s="30"/>
      <c r="Q104" s="46"/>
      <c r="R104" s="30"/>
      <c r="S104" s="30"/>
      <c r="T104" s="46"/>
      <c r="U104" s="30"/>
      <c r="V104" s="30"/>
      <c r="W104" s="46"/>
      <c r="X104" s="30"/>
      <c r="Y104" s="46"/>
      <c r="Z104" s="30"/>
      <c r="AA104" s="30"/>
      <c r="AB104" s="30"/>
      <c r="AC104" s="30"/>
      <c r="AD104" s="30"/>
    </row>
    <row r="105" spans="1:30" x14ac:dyDescent="0.3">
      <c r="A105" s="30"/>
      <c r="B105" s="30"/>
      <c r="C105" s="30"/>
      <c r="D105" s="30"/>
      <c r="E105" s="30"/>
      <c r="F105" s="46"/>
      <c r="G105" s="46"/>
      <c r="H105" s="30"/>
      <c r="I105" s="30"/>
      <c r="J105" s="30"/>
      <c r="K105" s="30"/>
      <c r="L105" s="30"/>
      <c r="M105" s="30"/>
      <c r="N105" s="46"/>
      <c r="O105" s="30"/>
      <c r="P105" s="30"/>
      <c r="Q105" s="46"/>
      <c r="R105" s="30"/>
      <c r="S105" s="30"/>
      <c r="T105" s="46"/>
      <c r="U105" s="30"/>
      <c r="V105" s="30"/>
      <c r="W105" s="46"/>
      <c r="X105" s="30"/>
      <c r="Y105" s="46"/>
      <c r="Z105" s="30"/>
      <c r="AA105" s="30"/>
      <c r="AB105" s="30"/>
      <c r="AC105" s="30"/>
      <c r="AD105" s="30"/>
    </row>
    <row r="106" spans="1:30" x14ac:dyDescent="0.3">
      <c r="A106" s="30"/>
      <c r="B106" s="30"/>
      <c r="C106" s="30"/>
      <c r="D106" s="30"/>
      <c r="E106" s="30"/>
      <c r="F106" s="46"/>
      <c r="G106" s="46"/>
      <c r="H106" s="30"/>
      <c r="I106" s="30"/>
      <c r="J106" s="30"/>
      <c r="K106" s="30"/>
      <c r="L106" s="30"/>
      <c r="M106" s="30"/>
      <c r="N106" s="46"/>
      <c r="O106" s="30"/>
      <c r="P106" s="30"/>
      <c r="Q106" s="46"/>
      <c r="R106" s="30"/>
      <c r="S106" s="30"/>
      <c r="T106" s="46"/>
      <c r="U106" s="30"/>
      <c r="V106" s="30"/>
      <c r="W106" s="46"/>
      <c r="X106" s="30"/>
      <c r="Y106" s="46"/>
      <c r="Z106" s="30"/>
      <c r="AA106" s="30"/>
      <c r="AB106" s="30"/>
      <c r="AC106" s="30"/>
      <c r="AD106" s="30"/>
    </row>
    <row r="107" spans="1:30" x14ac:dyDescent="0.3">
      <c r="A107" s="30"/>
      <c r="B107" s="30"/>
      <c r="C107" s="30"/>
      <c r="D107" s="30"/>
      <c r="E107" s="30"/>
      <c r="F107" s="46"/>
      <c r="G107" s="46"/>
      <c r="H107" s="30"/>
      <c r="I107" s="30"/>
      <c r="J107" s="30"/>
      <c r="K107" s="30"/>
      <c r="L107" s="30"/>
      <c r="M107" s="30"/>
      <c r="N107" s="46"/>
      <c r="O107" s="30"/>
      <c r="P107" s="30"/>
      <c r="Q107" s="46"/>
      <c r="R107" s="30"/>
      <c r="S107" s="30"/>
      <c r="T107" s="46"/>
      <c r="U107" s="30"/>
      <c r="V107" s="30"/>
      <c r="W107" s="46"/>
      <c r="X107" s="30"/>
      <c r="Y107" s="46"/>
      <c r="Z107" s="30"/>
      <c r="AA107" s="30"/>
      <c r="AB107" s="30"/>
      <c r="AC107" s="30"/>
      <c r="AD107" s="30"/>
    </row>
    <row r="108" spans="1:30" x14ac:dyDescent="0.3">
      <c r="A108" s="30"/>
      <c r="B108" s="30"/>
      <c r="C108" s="30"/>
      <c r="D108" s="30"/>
      <c r="E108" s="30"/>
      <c r="F108" s="46"/>
      <c r="G108" s="46"/>
      <c r="H108" s="30"/>
      <c r="I108" s="30"/>
      <c r="J108" s="30"/>
      <c r="K108" s="30"/>
      <c r="L108" s="30"/>
      <c r="M108" s="30"/>
      <c r="N108" s="46"/>
      <c r="O108" s="30"/>
      <c r="P108" s="30"/>
      <c r="Q108" s="46"/>
      <c r="R108" s="30"/>
      <c r="S108" s="30"/>
      <c r="T108" s="46"/>
      <c r="U108" s="30"/>
      <c r="V108" s="30"/>
      <c r="W108" s="46"/>
      <c r="X108" s="30"/>
      <c r="Y108" s="46"/>
      <c r="Z108" s="30"/>
      <c r="AA108" s="30"/>
      <c r="AB108" s="30"/>
      <c r="AC108" s="30"/>
      <c r="AD108" s="30"/>
    </row>
    <row r="109" spans="1:30" x14ac:dyDescent="0.3">
      <c r="A109" s="30"/>
      <c r="B109" s="30"/>
      <c r="C109" s="30"/>
      <c r="D109" s="30"/>
      <c r="E109" s="30"/>
      <c r="F109" s="46"/>
      <c r="G109" s="46"/>
      <c r="H109" s="30"/>
      <c r="I109" s="30"/>
      <c r="J109" s="30"/>
      <c r="K109" s="30"/>
      <c r="L109" s="30"/>
      <c r="M109" s="30"/>
      <c r="N109" s="46"/>
      <c r="O109" s="30"/>
      <c r="P109" s="30"/>
      <c r="Q109" s="46"/>
      <c r="R109" s="30"/>
      <c r="S109" s="30"/>
      <c r="T109" s="46"/>
      <c r="U109" s="30"/>
      <c r="V109" s="30"/>
      <c r="W109" s="46"/>
      <c r="X109" s="30"/>
      <c r="Y109" s="46"/>
      <c r="Z109" s="30"/>
      <c r="AA109" s="30"/>
      <c r="AB109" s="30"/>
      <c r="AC109" s="30"/>
      <c r="AD109" s="30"/>
    </row>
    <row r="110" spans="1:30" x14ac:dyDescent="0.3">
      <c r="A110" s="30"/>
      <c r="B110" s="30"/>
      <c r="C110" s="30"/>
      <c r="D110" s="30"/>
      <c r="E110" s="30"/>
      <c r="F110" s="46"/>
      <c r="G110" s="46"/>
      <c r="H110" s="30"/>
      <c r="I110" s="30"/>
      <c r="J110" s="30"/>
      <c r="K110" s="30"/>
      <c r="L110" s="30"/>
      <c r="M110" s="30"/>
      <c r="N110" s="46"/>
      <c r="O110" s="30"/>
      <c r="P110" s="30"/>
      <c r="Q110" s="46"/>
      <c r="R110" s="30"/>
      <c r="S110" s="30"/>
      <c r="T110" s="46"/>
      <c r="U110" s="30"/>
      <c r="V110" s="30"/>
      <c r="W110" s="46"/>
      <c r="X110" s="30"/>
      <c r="Y110" s="46"/>
      <c r="Z110" s="30"/>
      <c r="AA110" s="30"/>
      <c r="AB110" s="30"/>
      <c r="AC110" s="30"/>
      <c r="AD110" s="30"/>
    </row>
    <row r="111" spans="1:30" x14ac:dyDescent="0.3">
      <c r="A111" s="30"/>
      <c r="B111" s="30"/>
      <c r="C111" s="30"/>
      <c r="D111" s="30"/>
      <c r="E111" s="30"/>
      <c r="F111" s="46"/>
      <c r="G111" s="46"/>
      <c r="H111" s="30"/>
      <c r="I111" s="30"/>
      <c r="J111" s="30"/>
      <c r="K111" s="30"/>
      <c r="L111" s="30"/>
      <c r="M111" s="30"/>
      <c r="N111" s="46"/>
      <c r="O111" s="30"/>
      <c r="P111" s="30"/>
      <c r="Q111" s="46"/>
      <c r="R111" s="30"/>
      <c r="S111" s="30"/>
      <c r="T111" s="46"/>
      <c r="U111" s="30"/>
      <c r="V111" s="30"/>
      <c r="W111" s="46"/>
      <c r="X111" s="30"/>
      <c r="Y111" s="46"/>
      <c r="Z111" s="30"/>
      <c r="AA111" s="30"/>
      <c r="AB111" s="30"/>
      <c r="AC111" s="30"/>
      <c r="AD111" s="30"/>
    </row>
    <row r="112" spans="1:30" x14ac:dyDescent="0.3">
      <c r="A112" s="30"/>
      <c r="B112" s="30"/>
      <c r="C112" s="30"/>
      <c r="D112" s="30"/>
      <c r="E112" s="30"/>
      <c r="F112" s="46"/>
      <c r="G112" s="46"/>
      <c r="H112" s="30"/>
      <c r="I112" s="30"/>
      <c r="J112" s="30"/>
      <c r="K112" s="30"/>
      <c r="L112" s="30"/>
      <c r="M112" s="30"/>
      <c r="N112" s="46"/>
      <c r="O112" s="30"/>
      <c r="P112" s="30"/>
      <c r="Q112" s="46"/>
      <c r="R112" s="30"/>
      <c r="S112" s="30"/>
      <c r="T112" s="46"/>
      <c r="U112" s="30"/>
      <c r="V112" s="30"/>
      <c r="W112" s="46"/>
      <c r="X112" s="30"/>
      <c r="Y112" s="46"/>
      <c r="Z112" s="30"/>
      <c r="AA112" s="30"/>
      <c r="AB112" s="30"/>
      <c r="AC112" s="30"/>
      <c r="AD112" s="30"/>
    </row>
    <row r="113" spans="1:30" x14ac:dyDescent="0.3">
      <c r="A113" s="30"/>
      <c r="B113" s="30"/>
      <c r="C113" s="30"/>
      <c r="D113" s="30"/>
      <c r="E113" s="30"/>
      <c r="F113" s="46"/>
      <c r="G113" s="46"/>
      <c r="H113" s="30"/>
      <c r="I113" s="30"/>
      <c r="J113" s="30"/>
      <c r="K113" s="30"/>
      <c r="L113" s="30"/>
      <c r="M113" s="30"/>
      <c r="N113" s="46"/>
      <c r="O113" s="30"/>
      <c r="P113" s="30"/>
      <c r="Q113" s="46"/>
      <c r="R113" s="30"/>
      <c r="S113" s="30"/>
      <c r="T113" s="46"/>
      <c r="U113" s="30"/>
      <c r="V113" s="30"/>
      <c r="W113" s="46"/>
      <c r="X113" s="30"/>
      <c r="Y113" s="46"/>
      <c r="Z113" s="30"/>
      <c r="AA113" s="30"/>
      <c r="AB113" s="30"/>
      <c r="AC113" s="30"/>
      <c r="AD113" s="30"/>
    </row>
    <row r="114" spans="1:30" x14ac:dyDescent="0.3">
      <c r="A114" s="30"/>
      <c r="B114" s="30"/>
      <c r="C114" s="30"/>
      <c r="D114" s="30"/>
      <c r="E114" s="30"/>
      <c r="F114" s="46"/>
      <c r="G114" s="46"/>
      <c r="H114" s="30"/>
      <c r="I114" s="30"/>
      <c r="J114" s="30"/>
      <c r="K114" s="30"/>
      <c r="L114" s="30"/>
      <c r="M114" s="30"/>
      <c r="N114" s="46"/>
      <c r="O114" s="30"/>
      <c r="P114" s="30"/>
      <c r="Q114" s="46"/>
      <c r="R114" s="30"/>
      <c r="S114" s="30"/>
      <c r="T114" s="46"/>
      <c r="U114" s="30"/>
      <c r="V114" s="30"/>
      <c r="W114" s="46"/>
      <c r="X114" s="30"/>
      <c r="Y114" s="46"/>
      <c r="Z114" s="30"/>
      <c r="AA114" s="30"/>
      <c r="AB114" s="30"/>
      <c r="AC114" s="30"/>
      <c r="AD114" s="30"/>
    </row>
    <row r="115" spans="1:30" x14ac:dyDescent="0.3">
      <c r="A115" s="30"/>
      <c r="B115" s="30"/>
      <c r="C115" s="30"/>
      <c r="D115" s="30"/>
      <c r="E115" s="30"/>
      <c r="F115" s="46"/>
      <c r="G115" s="46"/>
      <c r="H115" s="30"/>
      <c r="I115" s="30"/>
      <c r="J115" s="30"/>
      <c r="K115" s="30"/>
      <c r="L115" s="30"/>
      <c r="M115" s="30"/>
      <c r="N115" s="46"/>
      <c r="O115" s="30"/>
      <c r="P115" s="30"/>
      <c r="Q115" s="46"/>
      <c r="R115" s="30"/>
      <c r="S115" s="30"/>
      <c r="T115" s="46"/>
      <c r="U115" s="30"/>
      <c r="V115" s="30"/>
      <c r="W115" s="46"/>
      <c r="X115" s="30"/>
      <c r="Y115" s="46"/>
      <c r="Z115" s="30"/>
      <c r="AA115" s="30"/>
      <c r="AB115" s="30"/>
      <c r="AC115" s="30"/>
      <c r="AD115" s="30"/>
    </row>
    <row r="116" spans="1:30" x14ac:dyDescent="0.3">
      <c r="A116" s="30"/>
      <c r="B116" s="30"/>
      <c r="C116" s="30"/>
      <c r="D116" s="30"/>
      <c r="E116" s="30"/>
      <c r="F116" s="46"/>
      <c r="G116" s="46"/>
      <c r="H116" s="30"/>
      <c r="I116" s="30"/>
      <c r="J116" s="30"/>
      <c r="K116" s="30"/>
      <c r="L116" s="30"/>
      <c r="M116" s="30"/>
      <c r="N116" s="46"/>
      <c r="O116" s="30"/>
      <c r="P116" s="30"/>
      <c r="Q116" s="46"/>
      <c r="R116" s="30"/>
      <c r="S116" s="30"/>
      <c r="T116" s="46"/>
      <c r="U116" s="30"/>
      <c r="V116" s="30"/>
      <c r="W116" s="46"/>
      <c r="X116" s="30"/>
      <c r="Y116" s="46"/>
      <c r="Z116" s="30"/>
      <c r="AA116" s="30"/>
      <c r="AB116" s="30"/>
      <c r="AC116" s="30"/>
      <c r="AD116" s="30"/>
    </row>
    <row r="117" spans="1:30" x14ac:dyDescent="0.3">
      <c r="A117" s="84"/>
      <c r="B117" s="84"/>
      <c r="C117" s="84"/>
      <c r="D117" s="84"/>
      <c r="E117" s="84"/>
      <c r="F117" s="48"/>
    </row>
    <row r="118" spans="1:30" x14ac:dyDescent="0.3">
      <c r="A118" s="30"/>
      <c r="B118" s="30"/>
      <c r="C118" s="30"/>
      <c r="D118" s="30"/>
      <c r="E118" s="30"/>
      <c r="F118" s="46"/>
      <c r="G118" s="46"/>
      <c r="H118" s="30"/>
      <c r="I118" s="30"/>
      <c r="J118" s="30"/>
      <c r="K118" s="30"/>
      <c r="L118" s="30"/>
      <c r="M118" s="30"/>
      <c r="N118" s="46"/>
      <c r="O118" s="30"/>
      <c r="P118" s="30"/>
      <c r="Q118" s="46"/>
      <c r="R118" s="30"/>
      <c r="S118" s="30"/>
      <c r="T118" s="46"/>
      <c r="U118" s="30"/>
      <c r="V118" s="30"/>
      <c r="W118" s="46"/>
      <c r="X118" s="30"/>
      <c r="Y118" s="46"/>
      <c r="Z118" s="30"/>
      <c r="AA118" s="30"/>
      <c r="AB118" s="30"/>
      <c r="AC118" s="30"/>
      <c r="AD118" s="30"/>
    </row>
    <row r="119" spans="1:30" x14ac:dyDescent="0.3">
      <c r="A119" s="30"/>
      <c r="B119" s="30"/>
      <c r="C119" s="30"/>
      <c r="D119" s="30"/>
      <c r="E119" s="30"/>
      <c r="F119" s="46"/>
      <c r="G119" s="46"/>
      <c r="H119" s="30"/>
      <c r="I119" s="30"/>
      <c r="J119" s="30"/>
      <c r="K119" s="30"/>
      <c r="L119" s="30"/>
      <c r="M119" s="30"/>
      <c r="N119" s="46"/>
      <c r="O119" s="30"/>
      <c r="P119" s="30"/>
      <c r="Q119" s="46"/>
      <c r="R119" s="30"/>
      <c r="S119" s="30"/>
      <c r="T119" s="46"/>
      <c r="U119" s="30"/>
      <c r="V119" s="30"/>
      <c r="W119" s="46"/>
      <c r="X119" s="30"/>
      <c r="Y119" s="46"/>
      <c r="Z119" s="30"/>
      <c r="AA119" s="30"/>
      <c r="AB119" s="30"/>
      <c r="AC119" s="30"/>
      <c r="AD119" s="30"/>
    </row>
    <row r="120" spans="1:30" x14ac:dyDescent="0.3">
      <c r="A120" s="30"/>
      <c r="B120" s="30"/>
      <c r="C120" s="30"/>
      <c r="D120" s="30"/>
      <c r="E120" s="30"/>
      <c r="F120" s="46"/>
      <c r="G120" s="46"/>
      <c r="H120" s="30"/>
      <c r="I120" s="30"/>
      <c r="J120" s="30"/>
      <c r="K120" s="30"/>
      <c r="L120" s="30"/>
      <c r="M120" s="30"/>
      <c r="N120" s="46"/>
      <c r="O120" s="30"/>
      <c r="P120" s="30"/>
      <c r="Q120" s="46"/>
      <c r="R120" s="30"/>
      <c r="S120" s="30"/>
      <c r="T120" s="46"/>
      <c r="U120" s="30"/>
      <c r="V120" s="30"/>
      <c r="W120" s="46"/>
      <c r="X120" s="30"/>
      <c r="Y120" s="46"/>
      <c r="Z120" s="30"/>
      <c r="AA120" s="30"/>
      <c r="AB120" s="30"/>
      <c r="AC120" s="30"/>
      <c r="AD120" s="30"/>
    </row>
    <row r="121" spans="1:30" x14ac:dyDescent="0.3">
      <c r="A121" s="30"/>
      <c r="B121" s="30"/>
      <c r="C121" s="30"/>
      <c r="D121" s="30"/>
      <c r="E121" s="30"/>
      <c r="F121" s="46"/>
      <c r="G121" s="46"/>
      <c r="H121" s="30"/>
      <c r="I121" s="30"/>
      <c r="J121" s="30"/>
      <c r="K121" s="30"/>
      <c r="L121" s="30"/>
      <c r="M121" s="30"/>
      <c r="N121" s="46"/>
      <c r="O121" s="30"/>
      <c r="P121" s="30"/>
      <c r="Q121" s="46"/>
      <c r="R121" s="30"/>
      <c r="S121" s="30"/>
      <c r="T121" s="46"/>
      <c r="U121" s="30"/>
      <c r="V121" s="30"/>
      <c r="W121" s="46"/>
      <c r="X121" s="30"/>
      <c r="Y121" s="46"/>
      <c r="Z121" s="30"/>
      <c r="AA121" s="30"/>
      <c r="AB121" s="30"/>
      <c r="AC121" s="30"/>
      <c r="AD121" s="30"/>
    </row>
    <row r="122" spans="1:30" x14ac:dyDescent="0.3">
      <c r="A122" s="30"/>
      <c r="B122" s="30"/>
      <c r="C122" s="30"/>
      <c r="D122" s="30"/>
      <c r="E122" s="30"/>
      <c r="F122" s="46"/>
      <c r="G122" s="46"/>
      <c r="H122" s="30"/>
      <c r="I122" s="30"/>
      <c r="J122" s="30"/>
      <c r="K122" s="30"/>
      <c r="L122" s="30"/>
      <c r="M122" s="30"/>
      <c r="N122" s="46"/>
      <c r="O122" s="30"/>
      <c r="P122" s="30"/>
      <c r="Q122" s="46"/>
      <c r="R122" s="30"/>
      <c r="S122" s="30"/>
      <c r="T122" s="46"/>
      <c r="U122" s="30"/>
      <c r="V122" s="30"/>
      <c r="W122" s="46"/>
      <c r="X122" s="30"/>
      <c r="Y122" s="46"/>
      <c r="Z122" s="30"/>
      <c r="AA122" s="30"/>
      <c r="AB122" s="30"/>
      <c r="AC122" s="30"/>
      <c r="AD122" s="30"/>
    </row>
    <row r="123" spans="1:30" x14ac:dyDescent="0.3">
      <c r="A123" s="30"/>
      <c r="B123" s="30"/>
      <c r="C123" s="30"/>
      <c r="D123" s="30"/>
      <c r="E123" s="30"/>
      <c r="F123" s="46"/>
      <c r="G123" s="46"/>
      <c r="H123" s="30"/>
      <c r="I123" s="30"/>
      <c r="J123" s="30"/>
      <c r="K123" s="30"/>
      <c r="L123" s="30"/>
      <c r="M123" s="30"/>
      <c r="N123" s="46"/>
      <c r="O123" s="30"/>
      <c r="P123" s="30"/>
      <c r="Q123" s="46"/>
      <c r="R123" s="30"/>
      <c r="S123" s="30"/>
      <c r="T123" s="46"/>
      <c r="U123" s="30"/>
      <c r="V123" s="30"/>
      <c r="W123" s="46"/>
      <c r="X123" s="30"/>
      <c r="Y123" s="46"/>
      <c r="Z123" s="30"/>
      <c r="AA123" s="30"/>
      <c r="AB123" s="30"/>
      <c r="AC123" s="30"/>
      <c r="AD123" s="30"/>
    </row>
    <row r="124" spans="1:30" x14ac:dyDescent="0.3">
      <c r="A124" s="30"/>
      <c r="B124" s="30"/>
      <c r="C124" s="30"/>
      <c r="D124" s="30"/>
      <c r="E124" s="30"/>
      <c r="F124" s="46"/>
      <c r="G124" s="46"/>
      <c r="H124" s="30"/>
      <c r="I124" s="30"/>
      <c r="J124" s="30"/>
      <c r="K124" s="30"/>
      <c r="L124" s="30"/>
      <c r="M124" s="30"/>
      <c r="N124" s="46"/>
      <c r="O124" s="30"/>
      <c r="P124" s="30"/>
      <c r="Q124" s="46"/>
      <c r="R124" s="30"/>
      <c r="S124" s="30"/>
      <c r="T124" s="46"/>
      <c r="U124" s="30"/>
      <c r="V124" s="30"/>
      <c r="W124" s="46"/>
      <c r="X124" s="30"/>
      <c r="Y124" s="46"/>
      <c r="Z124" s="30"/>
      <c r="AA124" s="30"/>
      <c r="AB124" s="30"/>
      <c r="AC124" s="30"/>
      <c r="AD124" s="30"/>
    </row>
    <row r="125" spans="1:30" x14ac:dyDescent="0.3">
      <c r="A125" s="30"/>
      <c r="B125" s="30"/>
      <c r="C125" s="30"/>
      <c r="D125" s="30"/>
      <c r="E125" s="30"/>
      <c r="F125" s="46"/>
      <c r="G125" s="46"/>
      <c r="H125" s="30"/>
      <c r="I125" s="30"/>
      <c r="J125" s="30"/>
      <c r="K125" s="30"/>
      <c r="L125" s="30"/>
      <c r="M125" s="30"/>
      <c r="N125" s="46"/>
      <c r="O125" s="30"/>
      <c r="P125" s="30"/>
      <c r="Q125" s="46"/>
      <c r="R125" s="30"/>
      <c r="S125" s="30"/>
      <c r="T125" s="46"/>
      <c r="U125" s="30"/>
      <c r="V125" s="30"/>
      <c r="W125" s="46"/>
      <c r="X125" s="30"/>
      <c r="Y125" s="46"/>
      <c r="Z125" s="30"/>
      <c r="AA125" s="30"/>
      <c r="AB125" s="30"/>
      <c r="AC125" s="30"/>
      <c r="AD125" s="30"/>
    </row>
    <row r="126" spans="1:30" x14ac:dyDescent="0.3">
      <c r="A126" s="30"/>
      <c r="B126" s="30"/>
      <c r="C126" s="30"/>
      <c r="D126" s="30"/>
      <c r="E126" s="30"/>
      <c r="F126" s="46"/>
      <c r="G126" s="46"/>
      <c r="H126" s="30"/>
      <c r="I126" s="30"/>
      <c r="J126" s="30"/>
      <c r="K126" s="30"/>
      <c r="L126" s="30"/>
      <c r="M126" s="30"/>
      <c r="N126" s="46"/>
      <c r="O126" s="30"/>
      <c r="P126" s="30"/>
      <c r="Q126" s="46"/>
      <c r="R126" s="30"/>
      <c r="S126" s="30"/>
      <c r="T126" s="46"/>
      <c r="U126" s="30"/>
      <c r="V126" s="30"/>
      <c r="W126" s="46"/>
      <c r="X126" s="30"/>
      <c r="Y126" s="46"/>
      <c r="Z126" s="30"/>
      <c r="AA126" s="30"/>
      <c r="AB126" s="30"/>
      <c r="AC126" s="30"/>
      <c r="AD126" s="30"/>
    </row>
    <row r="127" spans="1:30" x14ac:dyDescent="0.3">
      <c r="A127" s="30"/>
      <c r="B127" s="30"/>
      <c r="C127" s="30"/>
      <c r="D127" s="30"/>
      <c r="E127" s="30"/>
      <c r="F127" s="46"/>
      <c r="G127" s="46"/>
      <c r="H127" s="30"/>
      <c r="I127" s="30"/>
      <c r="J127" s="30"/>
      <c r="K127" s="30"/>
      <c r="L127" s="30"/>
      <c r="M127" s="30"/>
      <c r="N127" s="46"/>
      <c r="O127" s="30"/>
      <c r="P127" s="30"/>
      <c r="Q127" s="46"/>
      <c r="R127" s="30"/>
      <c r="S127" s="30"/>
      <c r="T127" s="46"/>
      <c r="U127" s="30"/>
      <c r="V127" s="30"/>
      <c r="W127" s="46"/>
      <c r="X127" s="30"/>
      <c r="Y127" s="46"/>
      <c r="Z127" s="30"/>
      <c r="AA127" s="30"/>
      <c r="AB127" s="30"/>
      <c r="AC127" s="30"/>
      <c r="AD127" s="30"/>
    </row>
    <row r="128" spans="1:30" x14ac:dyDescent="0.3">
      <c r="A128" s="30"/>
      <c r="B128" s="30"/>
      <c r="C128" s="30"/>
      <c r="D128" s="30"/>
      <c r="E128" s="30"/>
      <c r="F128" s="46"/>
      <c r="G128" s="46"/>
      <c r="H128" s="30"/>
      <c r="I128" s="30"/>
      <c r="J128" s="30"/>
      <c r="K128" s="30"/>
      <c r="L128" s="30"/>
      <c r="M128" s="30"/>
      <c r="N128" s="46"/>
      <c r="O128" s="30"/>
      <c r="P128" s="30"/>
      <c r="Q128" s="46"/>
      <c r="R128" s="30"/>
      <c r="S128" s="30"/>
      <c r="T128" s="46"/>
      <c r="U128" s="30"/>
      <c r="V128" s="30"/>
      <c r="W128" s="46"/>
      <c r="X128" s="30"/>
      <c r="Y128" s="46"/>
      <c r="Z128" s="30"/>
      <c r="AA128" s="30"/>
      <c r="AB128" s="30"/>
      <c r="AC128" s="30"/>
      <c r="AD128" s="30"/>
    </row>
    <row r="129" spans="1:5" x14ac:dyDescent="0.3">
      <c r="A129" s="84"/>
      <c r="B129" s="84"/>
      <c r="C129" s="84"/>
      <c r="D129" s="84"/>
      <c r="E129" s="84"/>
    </row>
    <row r="2000" spans="6:6" x14ac:dyDescent="0.3">
      <c r="F2000" s="48">
        <v>100000</v>
      </c>
    </row>
  </sheetData>
  <mergeCells count="2">
    <mergeCell ref="A129:E129"/>
    <mergeCell ref="A117:E11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5"/>
  <dimension ref="A1:D1110"/>
  <sheetViews>
    <sheetView topLeftCell="A20" workbookViewId="0">
      <selection activeCell="E17" sqref="E17"/>
    </sheetView>
  </sheetViews>
  <sheetFormatPr defaultRowHeight="14.4" x14ac:dyDescent="0.3"/>
  <cols>
    <col min="1" max="1" width="16.109375" customWidth="1"/>
    <col min="2" max="2" width="14.44140625" customWidth="1"/>
    <col min="3" max="3" width="28.6640625" customWidth="1"/>
    <col min="4" max="4" width="25.44140625" style="58" customWidth="1"/>
  </cols>
  <sheetData>
    <row r="1" spans="1:4" ht="60" x14ac:dyDescent="0.95">
      <c r="A1" s="3" t="s">
        <v>0</v>
      </c>
      <c r="B1" s="4"/>
      <c r="C1" s="3"/>
      <c r="D1" s="52"/>
    </row>
    <row r="2" spans="1:4" ht="19.2" x14ac:dyDescent="0.35">
      <c r="A2" s="85" t="s">
        <v>1</v>
      </c>
      <c r="B2" s="86"/>
      <c r="C2" s="8"/>
      <c r="D2" s="53"/>
    </row>
    <row r="3" spans="1:4" ht="19.2" x14ac:dyDescent="0.35">
      <c r="A3" s="85" t="s">
        <v>2</v>
      </c>
      <c r="B3" s="86"/>
      <c r="C3" s="7"/>
      <c r="D3" s="53"/>
    </row>
    <row r="4" spans="1:4" ht="19.2" x14ac:dyDescent="0.35">
      <c r="A4" s="85" t="s">
        <v>3</v>
      </c>
      <c r="B4" s="86"/>
      <c r="C4" s="7"/>
      <c r="D4" s="53"/>
    </row>
    <row r="5" spans="1:4" ht="37.799999999999997" x14ac:dyDescent="0.65">
      <c r="A5" s="2" t="s">
        <v>4</v>
      </c>
      <c r="B5" s="5"/>
      <c r="C5" s="1"/>
      <c r="D5" s="53"/>
    </row>
    <row r="6" spans="1:4" ht="16.8" x14ac:dyDescent="0.3">
      <c r="A6" s="6" t="s">
        <v>5</v>
      </c>
      <c r="B6" s="6" t="s">
        <v>6</v>
      </c>
      <c r="C6" s="6" t="s">
        <v>7</v>
      </c>
      <c r="D6" s="54" t="s">
        <v>8</v>
      </c>
    </row>
    <row r="7" spans="1:4" ht="16.8" x14ac:dyDescent="0.3">
      <c r="A7" s="8">
        <v>500000</v>
      </c>
      <c r="B7" s="6"/>
      <c r="C7" s="9">
        <v>0</v>
      </c>
      <c r="D7" s="55"/>
    </row>
    <row r="8" spans="1:4" ht="16.8" x14ac:dyDescent="0.3">
      <c r="A8" s="8">
        <v>200000</v>
      </c>
      <c r="B8" s="6"/>
      <c r="C8" s="9">
        <v>0</v>
      </c>
      <c r="D8" s="55"/>
    </row>
    <row r="9" spans="1:4" ht="16.8" x14ac:dyDescent="0.3">
      <c r="A9" s="8">
        <v>100000</v>
      </c>
      <c r="B9" s="6"/>
      <c r="C9" s="9">
        <v>0</v>
      </c>
      <c r="D9" s="55"/>
    </row>
    <row r="10" spans="1:4" ht="16.8" x14ac:dyDescent="0.3">
      <c r="A10" s="8">
        <v>50000</v>
      </c>
      <c r="B10" s="6"/>
      <c r="C10" s="9">
        <v>0</v>
      </c>
      <c r="D10" s="55"/>
    </row>
    <row r="11" spans="1:4" ht="16.8" x14ac:dyDescent="0.3">
      <c r="A11" s="8">
        <v>20000</v>
      </c>
      <c r="B11" s="6"/>
      <c r="C11" s="9">
        <v>0</v>
      </c>
      <c r="D11" s="55"/>
    </row>
    <row r="12" spans="1:4" ht="16.8" x14ac:dyDescent="0.3">
      <c r="A12" s="8">
        <v>10000</v>
      </c>
      <c r="B12" s="6"/>
      <c r="C12" s="9">
        <v>0</v>
      </c>
      <c r="D12" s="55"/>
    </row>
    <row r="13" spans="1:4" ht="16.8" x14ac:dyDescent="0.3">
      <c r="A13" s="8">
        <v>5000</v>
      </c>
      <c r="B13" s="6"/>
      <c r="C13" s="9">
        <v>0</v>
      </c>
      <c r="D13" s="55"/>
    </row>
    <row r="14" spans="1:4" ht="16.8" x14ac:dyDescent="0.3">
      <c r="A14" s="8">
        <v>2000</v>
      </c>
      <c r="B14" s="6"/>
      <c r="C14" s="9">
        <v>0</v>
      </c>
      <c r="D14" s="55"/>
    </row>
    <row r="15" spans="1:4" ht="16.8" x14ac:dyDescent="0.3">
      <c r="A15" s="8">
        <v>1000</v>
      </c>
      <c r="B15" s="6"/>
      <c r="C15" s="9">
        <v>0</v>
      </c>
      <c r="D15" s="55"/>
    </row>
    <row r="16" spans="1:4" ht="16.8" x14ac:dyDescent="0.3">
      <c r="A16" s="8">
        <v>500</v>
      </c>
      <c r="B16" s="6"/>
      <c r="C16" s="9">
        <v>0</v>
      </c>
      <c r="D16" s="55"/>
    </row>
    <row r="17" spans="1:4" ht="16.8" x14ac:dyDescent="0.3">
      <c r="A17" s="87" t="s">
        <v>9</v>
      </c>
      <c r="B17" s="88"/>
      <c r="C17" s="10">
        <v>0</v>
      </c>
      <c r="D17" s="56"/>
    </row>
    <row r="18" spans="1:4" ht="16.8" x14ac:dyDescent="0.3">
      <c r="A18" s="89" t="s">
        <v>10</v>
      </c>
      <c r="B18" s="89"/>
      <c r="C18" s="14">
        <f>C17-C2</f>
        <v>0</v>
      </c>
      <c r="D18" s="57" t="s">
        <v>15</v>
      </c>
    </row>
    <row r="19" spans="1:4" x14ac:dyDescent="0.3">
      <c r="D19" s="58" t="s">
        <v>28</v>
      </c>
    </row>
    <row r="20" spans="1:4" x14ac:dyDescent="0.3">
      <c r="D20" s="58" t="s">
        <v>39</v>
      </c>
    </row>
    <row r="50" spans="1:4" x14ac:dyDescent="0.3">
      <c r="A50" s="30" t="s">
        <v>20</v>
      </c>
      <c r="B50" s="30" t="s">
        <v>21</v>
      </c>
    </row>
    <row r="51" spans="1:4" x14ac:dyDescent="0.3">
      <c r="A51" s="30"/>
      <c r="B51" s="30"/>
      <c r="D51"/>
    </row>
    <row r="52" spans="1:4" x14ac:dyDescent="0.3">
      <c r="A52" s="30"/>
      <c r="B52" s="30"/>
      <c r="D52"/>
    </row>
    <row r="53" spans="1:4" x14ac:dyDescent="0.3">
      <c r="A53" s="30"/>
      <c r="B53" s="30"/>
      <c r="D53"/>
    </row>
    <row r="54" spans="1:4" x14ac:dyDescent="0.3">
      <c r="A54" s="30"/>
      <c r="B54" s="30"/>
      <c r="D54"/>
    </row>
    <row r="55" spans="1:4" x14ac:dyDescent="0.3">
      <c r="A55" s="30"/>
      <c r="B55" s="30"/>
      <c r="D55"/>
    </row>
    <row r="56" spans="1:4" x14ac:dyDescent="0.3">
      <c r="A56" s="30"/>
      <c r="B56" s="30"/>
      <c r="D56"/>
    </row>
    <row r="57" spans="1:4" x14ac:dyDescent="0.3">
      <c r="A57" s="30"/>
      <c r="B57" s="30"/>
      <c r="D57"/>
    </row>
    <row r="58" spans="1:4" x14ac:dyDescent="0.3">
      <c r="A58" s="30"/>
      <c r="B58" s="30"/>
      <c r="D58"/>
    </row>
    <row r="59" spans="1:4" x14ac:dyDescent="0.3">
      <c r="A59" s="30"/>
      <c r="B59" s="30"/>
      <c r="D59"/>
    </row>
    <row r="60" spans="1:4" x14ac:dyDescent="0.3">
      <c r="A60" s="30"/>
      <c r="B60" s="30"/>
      <c r="D60"/>
    </row>
    <row r="61" spans="1:4" x14ac:dyDescent="0.3">
      <c r="A61" s="30"/>
      <c r="B61" s="30"/>
      <c r="D61"/>
    </row>
    <row r="62" spans="1:4" x14ac:dyDescent="0.3">
      <c r="A62" s="30"/>
      <c r="B62" s="30"/>
      <c r="D62"/>
    </row>
    <row r="63" spans="1:4" x14ac:dyDescent="0.3">
      <c r="A63" s="30"/>
      <c r="B63" s="30"/>
      <c r="D63"/>
    </row>
    <row r="64" spans="1:4" x14ac:dyDescent="0.3">
      <c r="A64" s="30"/>
      <c r="B64" s="30"/>
      <c r="D64"/>
    </row>
    <row r="65" spans="1:4" x14ac:dyDescent="0.3">
      <c r="A65" s="30"/>
      <c r="B65" s="30"/>
      <c r="D65"/>
    </row>
    <row r="66" spans="1:4" x14ac:dyDescent="0.3">
      <c r="A66" s="30"/>
      <c r="B66" s="30"/>
      <c r="D66"/>
    </row>
    <row r="67" spans="1:4" x14ac:dyDescent="0.3">
      <c r="A67" s="30"/>
      <c r="B67" s="30"/>
      <c r="D67"/>
    </row>
    <row r="68" spans="1:4" x14ac:dyDescent="0.3">
      <c r="A68" s="30"/>
      <c r="B68" s="30"/>
      <c r="D68"/>
    </row>
    <row r="69" spans="1:4" x14ac:dyDescent="0.3">
      <c r="A69" s="30"/>
      <c r="B69" s="30"/>
      <c r="D69"/>
    </row>
    <row r="70" spans="1:4" x14ac:dyDescent="0.3">
      <c r="A70" s="30"/>
      <c r="B70" s="30"/>
      <c r="D70"/>
    </row>
    <row r="71" spans="1:4" x14ac:dyDescent="0.3">
      <c r="A71" s="30"/>
      <c r="B71" s="30"/>
      <c r="D71"/>
    </row>
    <row r="72" spans="1:4" x14ac:dyDescent="0.3">
      <c r="A72" s="30"/>
      <c r="B72" s="30"/>
      <c r="D72"/>
    </row>
    <row r="73" spans="1:4" x14ac:dyDescent="0.3">
      <c r="A73" s="30"/>
      <c r="B73" s="30"/>
      <c r="D73"/>
    </row>
    <row r="74" spans="1:4" x14ac:dyDescent="0.3">
      <c r="A74" s="30"/>
      <c r="B74" s="30"/>
      <c r="D74"/>
    </row>
    <row r="75" spans="1:4" x14ac:dyDescent="0.3">
      <c r="A75" s="30"/>
      <c r="B75" s="30"/>
      <c r="D75"/>
    </row>
    <row r="76" spans="1:4" x14ac:dyDescent="0.3">
      <c r="A76" s="30"/>
      <c r="B76" s="30"/>
      <c r="D76"/>
    </row>
    <row r="77" spans="1:4" x14ac:dyDescent="0.3">
      <c r="A77" s="30"/>
      <c r="B77" s="30"/>
      <c r="D77"/>
    </row>
    <row r="78" spans="1:4" x14ac:dyDescent="0.3">
      <c r="A78" s="30"/>
      <c r="B78" s="30"/>
      <c r="D78"/>
    </row>
    <row r="79" spans="1:4" x14ac:dyDescent="0.3">
      <c r="A79" s="30"/>
      <c r="B79" s="30"/>
      <c r="D79"/>
    </row>
    <row r="80" spans="1:4" x14ac:dyDescent="0.3">
      <c r="A80" s="30"/>
      <c r="B80" s="30"/>
      <c r="D80"/>
    </row>
    <row r="81" spans="1:4" x14ac:dyDescent="0.3">
      <c r="A81" s="30"/>
      <c r="B81" s="30"/>
      <c r="D81"/>
    </row>
    <row r="82" spans="1:4" x14ac:dyDescent="0.3">
      <c r="A82" s="30"/>
      <c r="B82" s="30"/>
      <c r="D82"/>
    </row>
    <row r="83" spans="1:4" x14ac:dyDescent="0.3">
      <c r="A83" s="30"/>
      <c r="B83" s="30"/>
      <c r="D83"/>
    </row>
    <row r="84" spans="1:4" x14ac:dyDescent="0.3">
      <c r="A84" s="30"/>
      <c r="B84" s="30"/>
      <c r="D84"/>
    </row>
    <row r="85" spans="1:4" x14ac:dyDescent="0.3">
      <c r="A85" s="30"/>
      <c r="B85" s="30"/>
      <c r="D85"/>
    </row>
    <row r="86" spans="1:4" x14ac:dyDescent="0.3">
      <c r="A86" s="30"/>
      <c r="B86" s="30"/>
      <c r="D86"/>
    </row>
    <row r="87" spans="1:4" x14ac:dyDescent="0.3">
      <c r="A87" s="30"/>
      <c r="B87" s="30"/>
      <c r="D87"/>
    </row>
    <row r="88" spans="1:4" x14ac:dyDescent="0.3">
      <c r="A88" s="30"/>
      <c r="B88" s="30"/>
      <c r="D88"/>
    </row>
    <row r="89" spans="1:4" x14ac:dyDescent="0.3">
      <c r="A89" s="30"/>
      <c r="B89" s="30"/>
      <c r="D89"/>
    </row>
    <row r="90" spans="1:4" x14ac:dyDescent="0.3">
      <c r="A90" s="30"/>
      <c r="B90" s="30"/>
      <c r="D90"/>
    </row>
    <row r="91" spans="1:4" x14ac:dyDescent="0.3">
      <c r="A91" s="30"/>
      <c r="B91" s="30"/>
      <c r="D91"/>
    </row>
    <row r="92" spans="1:4" x14ac:dyDescent="0.3">
      <c r="A92" s="30"/>
      <c r="B92" s="30"/>
      <c r="D92"/>
    </row>
    <row r="93" spans="1:4" x14ac:dyDescent="0.3">
      <c r="A93" s="30"/>
      <c r="B93" s="30"/>
      <c r="D93"/>
    </row>
    <row r="94" spans="1:4" x14ac:dyDescent="0.3">
      <c r="A94" s="30"/>
      <c r="B94" s="30"/>
      <c r="D94"/>
    </row>
    <row r="95" spans="1:4" x14ac:dyDescent="0.3">
      <c r="A95" s="30"/>
      <c r="B95" s="30"/>
      <c r="D95"/>
    </row>
    <row r="96" spans="1:4" x14ac:dyDescent="0.3">
      <c r="A96" s="30"/>
      <c r="B96" s="30"/>
      <c r="D96"/>
    </row>
    <row r="97" spans="1:4" x14ac:dyDescent="0.3">
      <c r="A97" s="30"/>
      <c r="B97" s="30"/>
      <c r="D97"/>
    </row>
    <row r="98" spans="1:4" x14ac:dyDescent="0.3">
      <c r="A98" s="30"/>
      <c r="B98" s="30"/>
      <c r="D98"/>
    </row>
    <row r="99" spans="1:4" x14ac:dyDescent="0.3">
      <c r="A99" s="30"/>
      <c r="B99" s="30"/>
      <c r="D99"/>
    </row>
    <row r="100" spans="1:4" x14ac:dyDescent="0.3">
      <c r="A100" s="30"/>
      <c r="B100" s="30"/>
      <c r="D100"/>
    </row>
    <row r="101" spans="1:4" x14ac:dyDescent="0.3">
      <c r="A101" s="30"/>
      <c r="B101" s="30"/>
      <c r="D101"/>
    </row>
    <row r="102" spans="1:4" x14ac:dyDescent="0.3">
      <c r="A102" s="30"/>
      <c r="B102" s="30"/>
      <c r="D102"/>
    </row>
    <row r="103" spans="1:4" x14ac:dyDescent="0.3">
      <c r="A103" s="30"/>
      <c r="B103" s="30"/>
      <c r="D103"/>
    </row>
    <row r="104" spans="1:4" x14ac:dyDescent="0.3">
      <c r="A104" s="30"/>
      <c r="B104" s="30"/>
      <c r="D104"/>
    </row>
    <row r="105" spans="1:4" x14ac:dyDescent="0.3">
      <c r="A105" s="30"/>
      <c r="B105" s="30"/>
      <c r="D105"/>
    </row>
    <row r="106" spans="1:4" x14ac:dyDescent="0.3">
      <c r="A106" s="30"/>
      <c r="B106" s="30"/>
      <c r="D106"/>
    </row>
    <row r="107" spans="1:4" x14ac:dyDescent="0.3">
      <c r="A107" s="30"/>
      <c r="B107" s="30"/>
      <c r="D107"/>
    </row>
    <row r="108" spans="1:4" x14ac:dyDescent="0.3">
      <c r="A108" s="30"/>
      <c r="B108" s="30"/>
      <c r="D108"/>
    </row>
    <row r="109" spans="1:4" x14ac:dyDescent="0.3">
      <c r="A109" s="30"/>
      <c r="B109" s="30"/>
      <c r="D109"/>
    </row>
    <row r="110" spans="1:4" x14ac:dyDescent="0.3">
      <c r="A110" s="30"/>
      <c r="B110" s="30"/>
      <c r="D110"/>
    </row>
    <row r="111" spans="1:4" x14ac:dyDescent="0.3">
      <c r="A111" s="30"/>
      <c r="B111" s="30"/>
      <c r="D111"/>
    </row>
    <row r="112" spans="1:4" x14ac:dyDescent="0.3">
      <c r="A112" s="30"/>
      <c r="B112" s="30"/>
      <c r="D112"/>
    </row>
    <row r="113" spans="1:4" x14ac:dyDescent="0.3">
      <c r="A113" s="30"/>
      <c r="B113" s="30"/>
      <c r="D113"/>
    </row>
    <row r="114" spans="1:4" x14ac:dyDescent="0.3">
      <c r="A114" s="30"/>
      <c r="B114" s="30"/>
      <c r="D114"/>
    </row>
    <row r="115" spans="1:4" x14ac:dyDescent="0.3">
      <c r="A115" s="30"/>
      <c r="B115" s="30"/>
      <c r="D115"/>
    </row>
    <row r="116" spans="1:4" x14ac:dyDescent="0.3">
      <c r="A116" s="30"/>
      <c r="B116" s="30"/>
      <c r="D116"/>
    </row>
    <row r="117" spans="1:4" x14ac:dyDescent="0.3">
      <c r="A117" s="30"/>
      <c r="B117" s="30"/>
      <c r="D117"/>
    </row>
    <row r="118" spans="1:4" x14ac:dyDescent="0.3">
      <c r="A118" s="30"/>
      <c r="B118" s="30"/>
      <c r="D118"/>
    </row>
    <row r="119" spans="1:4" x14ac:dyDescent="0.3">
      <c r="A119" s="30"/>
      <c r="B119" s="30"/>
      <c r="D119"/>
    </row>
    <row r="120" spans="1:4" x14ac:dyDescent="0.3">
      <c r="A120" s="30"/>
      <c r="B120" s="30"/>
      <c r="D120"/>
    </row>
    <row r="121" spans="1:4" x14ac:dyDescent="0.3">
      <c r="A121" s="30"/>
      <c r="B121" s="30"/>
      <c r="D121"/>
    </row>
    <row r="122" spans="1:4" x14ac:dyDescent="0.3">
      <c r="A122" s="30"/>
      <c r="B122" s="30"/>
      <c r="D122"/>
    </row>
    <row r="123" spans="1:4" x14ac:dyDescent="0.3">
      <c r="A123" s="30"/>
      <c r="B123" s="30"/>
      <c r="D123"/>
    </row>
    <row r="124" spans="1:4" x14ac:dyDescent="0.3">
      <c r="A124" s="30"/>
      <c r="B124" s="30"/>
      <c r="D124"/>
    </row>
    <row r="125" spans="1:4" x14ac:dyDescent="0.3">
      <c r="A125" s="30"/>
      <c r="B125" s="30"/>
      <c r="D125"/>
    </row>
    <row r="126" spans="1:4" x14ac:dyDescent="0.3">
      <c r="A126" s="30"/>
      <c r="B126" s="30"/>
      <c r="D126"/>
    </row>
    <row r="127" spans="1:4" x14ac:dyDescent="0.3">
      <c r="A127" s="30"/>
      <c r="B127" s="30"/>
      <c r="D127"/>
    </row>
    <row r="128" spans="1:4" x14ac:dyDescent="0.3">
      <c r="A128" s="30"/>
      <c r="B128" s="30"/>
      <c r="D128"/>
    </row>
    <row r="129" spans="1:4" x14ac:dyDescent="0.3">
      <c r="A129" s="30"/>
      <c r="B129" s="30"/>
      <c r="D129"/>
    </row>
    <row r="130" spans="1:4" x14ac:dyDescent="0.3">
      <c r="A130" s="30"/>
      <c r="B130" s="30"/>
      <c r="D130"/>
    </row>
    <row r="131" spans="1:4" x14ac:dyDescent="0.3">
      <c r="A131" s="30"/>
      <c r="B131" s="30"/>
      <c r="D131"/>
    </row>
    <row r="132" spans="1:4" x14ac:dyDescent="0.3">
      <c r="A132" s="30"/>
      <c r="B132" s="30"/>
      <c r="D132"/>
    </row>
    <row r="133" spans="1:4" x14ac:dyDescent="0.3">
      <c r="A133" s="30"/>
      <c r="B133" s="30"/>
      <c r="D133"/>
    </row>
    <row r="134" spans="1:4" x14ac:dyDescent="0.3">
      <c r="A134" s="30"/>
      <c r="B134" s="30"/>
      <c r="D134"/>
    </row>
    <row r="135" spans="1:4" x14ac:dyDescent="0.3">
      <c r="A135" s="30"/>
      <c r="B135" s="30"/>
      <c r="D135"/>
    </row>
    <row r="136" spans="1:4" x14ac:dyDescent="0.3">
      <c r="A136" s="30"/>
      <c r="B136" s="30"/>
      <c r="D136"/>
    </row>
    <row r="137" spans="1:4" x14ac:dyDescent="0.3">
      <c r="A137" s="30"/>
      <c r="B137" s="30"/>
      <c r="D137"/>
    </row>
    <row r="138" spans="1:4" x14ac:dyDescent="0.3">
      <c r="A138" s="30"/>
      <c r="B138" s="30"/>
      <c r="D138"/>
    </row>
    <row r="139" spans="1:4" x14ac:dyDescent="0.3">
      <c r="A139" s="30"/>
      <c r="B139" s="30"/>
      <c r="D139"/>
    </row>
    <row r="140" spans="1:4" x14ac:dyDescent="0.3">
      <c r="A140" s="30"/>
      <c r="B140" s="30"/>
      <c r="D140"/>
    </row>
    <row r="141" spans="1:4" x14ac:dyDescent="0.3">
      <c r="A141" s="30"/>
      <c r="B141" s="30"/>
      <c r="D141"/>
    </row>
    <row r="142" spans="1:4" x14ac:dyDescent="0.3">
      <c r="A142" s="30"/>
      <c r="B142" s="30"/>
      <c r="D142"/>
    </row>
    <row r="143" spans="1:4" x14ac:dyDescent="0.3">
      <c r="A143" s="30"/>
      <c r="B143" s="30"/>
      <c r="D143"/>
    </row>
    <row r="144" spans="1:4" x14ac:dyDescent="0.3">
      <c r="A144" s="30"/>
      <c r="B144" s="30"/>
      <c r="D144"/>
    </row>
    <row r="145" spans="1:4" x14ac:dyDescent="0.3">
      <c r="A145" s="30"/>
      <c r="B145" s="30"/>
      <c r="D145"/>
    </row>
    <row r="146" spans="1:4" x14ac:dyDescent="0.3">
      <c r="A146" s="30"/>
      <c r="B146" s="30"/>
      <c r="D146"/>
    </row>
    <row r="147" spans="1:4" x14ac:dyDescent="0.3">
      <c r="A147" s="30"/>
      <c r="B147" s="30"/>
      <c r="D147"/>
    </row>
    <row r="148" spans="1:4" x14ac:dyDescent="0.3">
      <c r="A148" s="30"/>
      <c r="B148" s="30"/>
      <c r="D148"/>
    </row>
    <row r="149" spans="1:4" x14ac:dyDescent="0.3">
      <c r="A149" s="30"/>
      <c r="B149" s="30"/>
      <c r="D149"/>
    </row>
    <row r="150" spans="1:4" x14ac:dyDescent="0.3">
      <c r="A150" s="30"/>
      <c r="B150" s="30"/>
      <c r="D150"/>
    </row>
    <row r="151" spans="1:4" x14ac:dyDescent="0.3">
      <c r="A151" s="30"/>
      <c r="B151" s="30"/>
      <c r="D151"/>
    </row>
    <row r="152" spans="1:4" x14ac:dyDescent="0.3">
      <c r="A152" s="30"/>
      <c r="B152" s="30"/>
      <c r="D152"/>
    </row>
    <row r="153" spans="1:4" x14ac:dyDescent="0.3">
      <c r="A153" s="30"/>
      <c r="B153" s="30"/>
      <c r="D153"/>
    </row>
    <row r="154" spans="1:4" x14ac:dyDescent="0.3">
      <c r="A154" s="30"/>
      <c r="B154" s="30"/>
      <c r="D154"/>
    </row>
    <row r="155" spans="1:4" x14ac:dyDescent="0.3">
      <c r="A155" s="30"/>
      <c r="B155" s="30"/>
      <c r="D155"/>
    </row>
    <row r="156" spans="1:4" x14ac:dyDescent="0.3">
      <c r="A156" s="30"/>
      <c r="B156" s="30"/>
      <c r="D156"/>
    </row>
    <row r="157" spans="1:4" x14ac:dyDescent="0.3">
      <c r="A157" s="30"/>
      <c r="B157" s="30"/>
      <c r="D157"/>
    </row>
    <row r="158" spans="1:4" x14ac:dyDescent="0.3">
      <c r="A158" s="30"/>
      <c r="B158" s="30"/>
      <c r="D158"/>
    </row>
    <row r="159" spans="1:4" x14ac:dyDescent="0.3">
      <c r="A159" s="30"/>
      <c r="B159" s="30"/>
      <c r="D159"/>
    </row>
    <row r="160" spans="1:4" x14ac:dyDescent="0.3">
      <c r="A160" s="30"/>
      <c r="B160" s="30"/>
      <c r="D160"/>
    </row>
    <row r="161" spans="1:4" x14ac:dyDescent="0.3">
      <c r="A161" s="30"/>
      <c r="B161" s="30"/>
      <c r="D161"/>
    </row>
    <row r="162" spans="1:4" x14ac:dyDescent="0.3">
      <c r="A162" s="30"/>
      <c r="B162" s="30"/>
      <c r="D162"/>
    </row>
    <row r="163" spans="1:4" x14ac:dyDescent="0.3">
      <c r="A163" s="30"/>
      <c r="B163" s="30"/>
      <c r="D163"/>
    </row>
    <row r="164" spans="1:4" x14ac:dyDescent="0.3">
      <c r="A164" s="30"/>
      <c r="B164" s="30"/>
      <c r="D164"/>
    </row>
    <row r="165" spans="1:4" x14ac:dyDescent="0.3">
      <c r="A165" s="30"/>
      <c r="B165" s="30"/>
      <c r="D165"/>
    </row>
    <row r="166" spans="1:4" x14ac:dyDescent="0.3">
      <c r="A166" s="30"/>
      <c r="B166" s="30"/>
      <c r="D166"/>
    </row>
    <row r="167" spans="1:4" x14ac:dyDescent="0.3">
      <c r="A167" s="30"/>
      <c r="B167" s="30"/>
      <c r="D167"/>
    </row>
    <row r="168" spans="1:4" x14ac:dyDescent="0.3">
      <c r="A168" s="30"/>
      <c r="B168" s="30"/>
      <c r="D168"/>
    </row>
    <row r="169" spans="1:4" x14ac:dyDescent="0.3">
      <c r="A169" s="30"/>
      <c r="B169" s="30"/>
      <c r="D169"/>
    </row>
    <row r="170" spans="1:4" x14ac:dyDescent="0.3">
      <c r="A170" s="30"/>
      <c r="B170" s="30"/>
      <c r="D170"/>
    </row>
    <row r="171" spans="1:4" x14ac:dyDescent="0.3">
      <c r="A171" s="30"/>
      <c r="B171" s="30"/>
      <c r="D171"/>
    </row>
    <row r="172" spans="1:4" x14ac:dyDescent="0.3">
      <c r="A172" s="30"/>
      <c r="B172" s="30"/>
      <c r="D172"/>
    </row>
    <row r="173" spans="1:4" x14ac:dyDescent="0.3">
      <c r="A173" s="30"/>
      <c r="B173" s="30"/>
      <c r="D173"/>
    </row>
    <row r="174" spans="1:4" x14ac:dyDescent="0.3">
      <c r="A174" s="30"/>
      <c r="B174" s="30"/>
      <c r="D174"/>
    </row>
    <row r="175" spans="1:4" x14ac:dyDescent="0.3">
      <c r="A175" s="30"/>
      <c r="B175" s="30"/>
      <c r="D175"/>
    </row>
    <row r="176" spans="1:4" x14ac:dyDescent="0.3">
      <c r="A176" s="30"/>
      <c r="B176" s="30"/>
      <c r="D176"/>
    </row>
    <row r="177" spans="1:4" x14ac:dyDescent="0.3">
      <c r="A177" s="30"/>
      <c r="B177" s="30"/>
      <c r="D177"/>
    </row>
    <row r="178" spans="1:4" x14ac:dyDescent="0.3">
      <c r="A178" s="30"/>
      <c r="B178" s="30"/>
      <c r="D178"/>
    </row>
    <row r="179" spans="1:4" x14ac:dyDescent="0.3">
      <c r="A179" s="30"/>
      <c r="B179" s="30"/>
      <c r="D179"/>
    </row>
    <row r="180" spans="1:4" x14ac:dyDescent="0.3">
      <c r="A180" s="30"/>
      <c r="B180" s="30"/>
      <c r="D180"/>
    </row>
    <row r="181" spans="1:4" x14ac:dyDescent="0.3">
      <c r="A181" s="30"/>
      <c r="B181" s="30"/>
      <c r="D181"/>
    </row>
    <row r="182" spans="1:4" x14ac:dyDescent="0.3">
      <c r="A182" s="30"/>
      <c r="B182" s="30"/>
      <c r="D182"/>
    </row>
    <row r="183" spans="1:4" x14ac:dyDescent="0.3">
      <c r="A183" s="30"/>
      <c r="B183" s="30"/>
      <c r="D183"/>
    </row>
    <row r="184" spans="1:4" x14ac:dyDescent="0.3">
      <c r="A184" s="30"/>
      <c r="B184" s="30"/>
      <c r="D184"/>
    </row>
    <row r="185" spans="1:4" x14ac:dyDescent="0.3">
      <c r="A185" s="30"/>
      <c r="B185" s="30"/>
      <c r="D185"/>
    </row>
    <row r="186" spans="1:4" x14ac:dyDescent="0.3">
      <c r="A186" s="30"/>
      <c r="B186" s="30"/>
      <c r="D186"/>
    </row>
    <row r="187" spans="1:4" x14ac:dyDescent="0.3">
      <c r="A187" s="30"/>
      <c r="B187" s="30"/>
      <c r="D187"/>
    </row>
    <row r="188" spans="1:4" x14ac:dyDescent="0.3">
      <c r="A188" s="30"/>
      <c r="B188" s="30"/>
      <c r="D188"/>
    </row>
    <row r="189" spans="1:4" x14ac:dyDescent="0.3">
      <c r="A189" s="30"/>
      <c r="B189" s="30"/>
      <c r="D189"/>
    </row>
    <row r="190" spans="1:4" x14ac:dyDescent="0.3">
      <c r="A190" s="30"/>
      <c r="B190" s="30"/>
      <c r="D190"/>
    </row>
    <row r="191" spans="1:4" x14ac:dyDescent="0.3">
      <c r="A191" s="30"/>
      <c r="B191" s="30"/>
      <c r="D191"/>
    </row>
    <row r="192" spans="1:4" x14ac:dyDescent="0.3">
      <c r="A192" s="30"/>
      <c r="B192" s="30"/>
      <c r="D192"/>
    </row>
    <row r="193" spans="1:4" x14ac:dyDescent="0.3">
      <c r="A193" s="30"/>
      <c r="B193" s="30"/>
      <c r="D193"/>
    </row>
    <row r="194" spans="1:4" x14ac:dyDescent="0.3">
      <c r="A194" s="30"/>
      <c r="B194" s="30"/>
      <c r="D194"/>
    </row>
    <row r="195" spans="1:4" x14ac:dyDescent="0.3">
      <c r="A195" s="30"/>
      <c r="B195" s="30"/>
      <c r="D195"/>
    </row>
    <row r="196" spans="1:4" x14ac:dyDescent="0.3">
      <c r="A196" s="30"/>
      <c r="B196" s="30"/>
      <c r="D196"/>
    </row>
    <row r="197" spans="1:4" x14ac:dyDescent="0.3">
      <c r="A197" s="30"/>
      <c r="B197" s="30"/>
      <c r="D197"/>
    </row>
    <row r="198" spans="1:4" x14ac:dyDescent="0.3">
      <c r="A198" s="30"/>
      <c r="B198" s="30"/>
      <c r="D198"/>
    </row>
    <row r="199" spans="1:4" x14ac:dyDescent="0.3">
      <c r="A199" s="30"/>
      <c r="B199" s="30"/>
      <c r="D199"/>
    </row>
    <row r="200" spans="1:4" x14ac:dyDescent="0.3">
      <c r="A200" s="30"/>
      <c r="B200" s="30"/>
      <c r="D200"/>
    </row>
    <row r="201" spans="1:4" x14ac:dyDescent="0.3">
      <c r="A201" s="30"/>
      <c r="B201" s="30"/>
      <c r="D201"/>
    </row>
    <row r="202" spans="1:4" x14ac:dyDescent="0.3">
      <c r="A202" s="30"/>
      <c r="B202" s="30"/>
      <c r="D202"/>
    </row>
    <row r="203" spans="1:4" x14ac:dyDescent="0.3">
      <c r="A203" s="30"/>
      <c r="B203" s="30"/>
      <c r="D203"/>
    </row>
    <row r="204" spans="1:4" x14ac:dyDescent="0.3">
      <c r="A204" s="30"/>
      <c r="B204" s="30"/>
      <c r="D204"/>
    </row>
    <row r="205" spans="1:4" x14ac:dyDescent="0.3">
      <c r="A205" s="30"/>
      <c r="B205" s="30"/>
      <c r="D205"/>
    </row>
    <row r="206" spans="1:4" x14ac:dyDescent="0.3">
      <c r="A206" s="30"/>
      <c r="B206" s="30"/>
      <c r="D206"/>
    </row>
    <row r="207" spans="1:4" x14ac:dyDescent="0.3">
      <c r="A207" s="30"/>
      <c r="B207" s="30"/>
      <c r="D207"/>
    </row>
    <row r="208" spans="1:4" x14ac:dyDescent="0.3">
      <c r="A208" s="30"/>
      <c r="B208" s="30"/>
      <c r="D208"/>
    </row>
    <row r="209" spans="1:4" x14ac:dyDescent="0.3">
      <c r="A209" s="30"/>
      <c r="B209" s="30"/>
      <c r="D209"/>
    </row>
    <row r="210" spans="1:4" x14ac:dyDescent="0.3">
      <c r="A210" s="30"/>
      <c r="B210" s="30"/>
      <c r="D210"/>
    </row>
    <row r="211" spans="1:4" x14ac:dyDescent="0.3">
      <c r="A211" s="30"/>
      <c r="B211" s="30"/>
      <c r="D211"/>
    </row>
    <row r="212" spans="1:4" x14ac:dyDescent="0.3">
      <c r="A212" s="30"/>
      <c r="B212" s="30"/>
      <c r="D212"/>
    </row>
    <row r="213" spans="1:4" x14ac:dyDescent="0.3">
      <c r="A213" s="30"/>
      <c r="B213" s="30"/>
      <c r="D213"/>
    </row>
    <row r="214" spans="1:4" x14ac:dyDescent="0.3">
      <c r="A214" s="30"/>
      <c r="B214" s="30"/>
      <c r="D214"/>
    </row>
    <row r="215" spans="1:4" x14ac:dyDescent="0.3">
      <c r="A215" s="30"/>
      <c r="B215" s="30"/>
      <c r="D215"/>
    </row>
    <row r="216" spans="1:4" x14ac:dyDescent="0.3">
      <c r="A216" s="30"/>
      <c r="B216" s="30"/>
      <c r="D216"/>
    </row>
    <row r="217" spans="1:4" x14ac:dyDescent="0.3">
      <c r="A217" s="30"/>
      <c r="B217" s="30"/>
      <c r="D217"/>
    </row>
    <row r="218" spans="1:4" x14ac:dyDescent="0.3">
      <c r="A218" s="30"/>
      <c r="B218" s="30"/>
      <c r="D218"/>
    </row>
    <row r="219" spans="1:4" x14ac:dyDescent="0.3">
      <c r="A219" s="30"/>
      <c r="B219" s="30"/>
      <c r="D219"/>
    </row>
    <row r="220" spans="1:4" x14ac:dyDescent="0.3">
      <c r="A220" s="30"/>
      <c r="B220" s="30"/>
      <c r="D220"/>
    </row>
    <row r="221" spans="1:4" x14ac:dyDescent="0.3">
      <c r="A221" s="30"/>
      <c r="B221" s="30"/>
      <c r="D221"/>
    </row>
    <row r="222" spans="1:4" x14ac:dyDescent="0.3">
      <c r="A222" s="30"/>
      <c r="B222" s="30"/>
      <c r="D222"/>
    </row>
    <row r="223" spans="1:4" x14ac:dyDescent="0.3">
      <c r="A223" s="30"/>
      <c r="B223" s="30"/>
      <c r="D223"/>
    </row>
    <row r="224" spans="1:4" x14ac:dyDescent="0.3">
      <c r="A224" s="30"/>
      <c r="B224" s="30"/>
      <c r="D224"/>
    </row>
    <row r="225" spans="1:4" x14ac:dyDescent="0.3">
      <c r="A225" s="30"/>
      <c r="B225" s="30"/>
      <c r="D225"/>
    </row>
    <row r="226" spans="1:4" x14ac:dyDescent="0.3">
      <c r="A226" s="30"/>
      <c r="B226" s="30"/>
      <c r="D226"/>
    </row>
    <row r="227" spans="1:4" x14ac:dyDescent="0.3">
      <c r="A227" s="30"/>
      <c r="B227" s="30"/>
      <c r="D227"/>
    </row>
    <row r="228" spans="1:4" x14ac:dyDescent="0.3">
      <c r="A228" s="30"/>
      <c r="B228" s="30"/>
      <c r="D228"/>
    </row>
    <row r="229" spans="1:4" x14ac:dyDescent="0.3">
      <c r="A229" s="30"/>
      <c r="B229" s="30"/>
      <c r="D229"/>
    </row>
    <row r="230" spans="1:4" x14ac:dyDescent="0.3">
      <c r="A230" s="30"/>
      <c r="B230" s="30"/>
      <c r="D230"/>
    </row>
    <row r="231" spans="1:4" x14ac:dyDescent="0.3">
      <c r="A231" s="30"/>
      <c r="B231" s="30"/>
      <c r="D231"/>
    </row>
    <row r="232" spans="1:4" x14ac:dyDescent="0.3">
      <c r="A232" s="30"/>
      <c r="B232" s="30"/>
      <c r="D232"/>
    </row>
    <row r="233" spans="1:4" x14ac:dyDescent="0.3">
      <c r="A233" s="30"/>
      <c r="B233" s="30"/>
      <c r="D233"/>
    </row>
    <row r="234" spans="1:4" x14ac:dyDescent="0.3">
      <c r="A234" s="30"/>
      <c r="B234" s="30"/>
      <c r="D234"/>
    </row>
    <row r="235" spans="1:4" x14ac:dyDescent="0.3">
      <c r="A235" s="30"/>
      <c r="B235" s="30"/>
    </row>
    <row r="236" spans="1:4" x14ac:dyDescent="0.3">
      <c r="A236" s="30"/>
      <c r="B236" s="30"/>
    </row>
    <row r="237" spans="1:4" x14ac:dyDescent="0.3">
      <c r="A237" s="30"/>
      <c r="B237" s="30"/>
    </row>
    <row r="238" spans="1:4" x14ac:dyDescent="0.3">
      <c r="A238" s="30"/>
      <c r="B238" s="30"/>
    </row>
    <row r="239" spans="1:4" x14ac:dyDescent="0.3">
      <c r="A239" s="30"/>
      <c r="B239" s="30"/>
    </row>
    <row r="240" spans="1:4" x14ac:dyDescent="0.3">
      <c r="A240" s="30"/>
      <c r="B240" s="30"/>
    </row>
    <row r="241" spans="1:2" x14ac:dyDescent="0.3">
      <c r="A241" s="30"/>
      <c r="B241" s="30"/>
    </row>
    <row r="242" spans="1:2" x14ac:dyDescent="0.3">
      <c r="A242" s="30"/>
      <c r="B242" s="30"/>
    </row>
    <row r="243" spans="1:2" x14ac:dyDescent="0.3">
      <c r="A243" s="30"/>
      <c r="B243" s="30"/>
    </row>
    <row r="244" spans="1:2" x14ac:dyDescent="0.3">
      <c r="A244" s="30"/>
      <c r="B244" s="30"/>
    </row>
    <row r="245" spans="1:2" x14ac:dyDescent="0.3">
      <c r="A245" s="30"/>
      <c r="B245" s="30"/>
    </row>
    <row r="246" spans="1:2" x14ac:dyDescent="0.3">
      <c r="A246" s="30"/>
      <c r="B246" s="30"/>
    </row>
    <row r="247" spans="1:2" x14ac:dyDescent="0.3">
      <c r="A247" s="30"/>
      <c r="B247" s="30"/>
    </row>
    <row r="248" spans="1:2" x14ac:dyDescent="0.3">
      <c r="A248" s="30"/>
      <c r="B248" s="30"/>
    </row>
    <row r="249" spans="1:2" x14ac:dyDescent="0.3">
      <c r="A249" s="30"/>
      <c r="B249" s="30"/>
    </row>
    <row r="250" spans="1:2" x14ac:dyDescent="0.3">
      <c r="A250" s="30"/>
      <c r="B250" s="30"/>
    </row>
    <row r="251" spans="1:2" x14ac:dyDescent="0.3">
      <c r="A251" s="30"/>
      <c r="B251" s="30"/>
    </row>
    <row r="252" spans="1:2" x14ac:dyDescent="0.3">
      <c r="A252" s="30"/>
      <c r="B252" s="30"/>
    </row>
    <row r="253" spans="1:2" x14ac:dyDescent="0.3">
      <c r="A253" s="30"/>
      <c r="B253" s="30"/>
    </row>
    <row r="254" spans="1:2" x14ac:dyDescent="0.3">
      <c r="A254" s="30"/>
      <c r="B254" s="30"/>
    </row>
    <row r="255" spans="1:2" x14ac:dyDescent="0.3">
      <c r="A255" s="30"/>
      <c r="B255" s="30"/>
    </row>
    <row r="256" spans="1:2" x14ac:dyDescent="0.3">
      <c r="A256" s="30"/>
      <c r="B256" s="30"/>
    </row>
    <row r="257" spans="1:2" x14ac:dyDescent="0.3">
      <c r="A257" s="30"/>
      <c r="B257" s="30"/>
    </row>
    <row r="258" spans="1:2" x14ac:dyDescent="0.3">
      <c r="A258" s="30"/>
      <c r="B258" s="30"/>
    </row>
    <row r="259" spans="1:2" x14ac:dyDescent="0.3">
      <c r="A259" s="30"/>
      <c r="B259" s="30"/>
    </row>
    <row r="260" spans="1:2" x14ac:dyDescent="0.3">
      <c r="A260" s="30"/>
      <c r="B260" s="30"/>
    </row>
    <row r="261" spans="1:2" x14ac:dyDescent="0.3">
      <c r="A261" s="30"/>
      <c r="B261" s="30"/>
    </row>
    <row r="262" spans="1:2" x14ac:dyDescent="0.3">
      <c r="A262" s="30"/>
      <c r="B262" s="30"/>
    </row>
    <row r="263" spans="1:2" x14ac:dyDescent="0.3">
      <c r="A263" s="30"/>
      <c r="B263" s="30"/>
    </row>
    <row r="264" spans="1:2" x14ac:dyDescent="0.3">
      <c r="A264" s="30"/>
      <c r="B264" s="30"/>
    </row>
    <row r="265" spans="1:2" x14ac:dyDescent="0.3">
      <c r="A265" s="30"/>
      <c r="B265" s="30"/>
    </row>
    <row r="266" spans="1:2" x14ac:dyDescent="0.3">
      <c r="A266" s="30"/>
      <c r="B266" s="30"/>
    </row>
    <row r="267" spans="1:2" x14ac:dyDescent="0.3">
      <c r="A267" s="30"/>
      <c r="B267" s="30"/>
    </row>
    <row r="268" spans="1:2" x14ac:dyDescent="0.3">
      <c r="A268" s="30"/>
      <c r="B268" s="30"/>
    </row>
    <row r="269" spans="1:2" x14ac:dyDescent="0.3">
      <c r="A269" s="30"/>
      <c r="B269" s="30"/>
    </row>
    <row r="270" spans="1:2" x14ac:dyDescent="0.3">
      <c r="A270" s="30"/>
      <c r="B270" s="30"/>
    </row>
    <row r="271" spans="1:2" x14ac:dyDescent="0.3">
      <c r="A271" s="30"/>
      <c r="B271" s="30"/>
    </row>
    <row r="272" spans="1:2" x14ac:dyDescent="0.3">
      <c r="A272" s="30"/>
      <c r="B272" s="30"/>
    </row>
    <row r="273" spans="1:2" x14ac:dyDescent="0.3">
      <c r="A273" s="30"/>
      <c r="B273" s="30"/>
    </row>
    <row r="274" spans="1:2" x14ac:dyDescent="0.3">
      <c r="A274" s="30"/>
      <c r="B274" s="30"/>
    </row>
    <row r="275" spans="1:2" x14ac:dyDescent="0.3">
      <c r="A275" s="30"/>
      <c r="B275" s="30"/>
    </row>
    <row r="276" spans="1:2" x14ac:dyDescent="0.3">
      <c r="A276" s="30"/>
      <c r="B276" s="30"/>
    </row>
    <row r="277" spans="1:2" x14ac:dyDescent="0.3">
      <c r="A277" s="30"/>
      <c r="B277" s="30"/>
    </row>
    <row r="278" spans="1:2" x14ac:dyDescent="0.3">
      <c r="A278" s="30"/>
      <c r="B278" s="30"/>
    </row>
    <row r="279" spans="1:2" x14ac:dyDescent="0.3">
      <c r="A279" s="30"/>
      <c r="B279" s="30"/>
    </row>
    <row r="280" spans="1:2" x14ac:dyDescent="0.3">
      <c r="A280" s="30"/>
      <c r="B280" s="30"/>
    </row>
    <row r="281" spans="1:2" x14ac:dyDescent="0.3">
      <c r="A281" s="30"/>
      <c r="B281" s="30"/>
    </row>
    <row r="282" spans="1:2" x14ac:dyDescent="0.3">
      <c r="A282" s="30"/>
      <c r="B282" s="30"/>
    </row>
    <row r="283" spans="1:2" x14ac:dyDescent="0.3">
      <c r="A283" s="30"/>
      <c r="B283" s="30"/>
    </row>
    <row r="284" spans="1:2" x14ac:dyDescent="0.3">
      <c r="A284" s="30"/>
      <c r="B284" s="30"/>
    </row>
    <row r="285" spans="1:2" x14ac:dyDescent="0.3">
      <c r="A285" s="30"/>
      <c r="B285" s="30"/>
    </row>
    <row r="286" spans="1:2" x14ac:dyDescent="0.3">
      <c r="A286" s="30"/>
      <c r="B286" s="30"/>
    </row>
    <row r="287" spans="1:2" x14ac:dyDescent="0.3">
      <c r="A287" s="30"/>
      <c r="B287" s="30"/>
    </row>
    <row r="288" spans="1:2" x14ac:dyDescent="0.3">
      <c r="A288" s="30"/>
      <c r="B288" s="30"/>
    </row>
    <row r="289" spans="1:2" x14ac:dyDescent="0.3">
      <c r="A289" s="30"/>
      <c r="B289" s="30"/>
    </row>
    <row r="290" spans="1:2" x14ac:dyDescent="0.3">
      <c r="A290" s="30"/>
      <c r="B290" s="30"/>
    </row>
    <row r="291" spans="1:2" x14ac:dyDescent="0.3">
      <c r="A291" s="30"/>
      <c r="B291" s="30"/>
    </row>
    <row r="292" spans="1:2" x14ac:dyDescent="0.3">
      <c r="A292" s="30"/>
      <c r="B292" s="30"/>
    </row>
    <row r="293" spans="1:2" x14ac:dyDescent="0.3">
      <c r="A293" s="30"/>
      <c r="B293" s="30"/>
    </row>
    <row r="294" spans="1:2" x14ac:dyDescent="0.3">
      <c r="A294" s="30"/>
      <c r="B294" s="30"/>
    </row>
    <row r="295" spans="1:2" x14ac:dyDescent="0.3">
      <c r="A295" s="30"/>
      <c r="B295" s="30"/>
    </row>
    <row r="296" spans="1:2" x14ac:dyDescent="0.3">
      <c r="A296" s="30"/>
      <c r="B296" s="30"/>
    </row>
    <row r="297" spans="1:2" x14ac:dyDescent="0.3">
      <c r="A297" s="30"/>
      <c r="B297" s="30"/>
    </row>
    <row r="298" spans="1:2" x14ac:dyDescent="0.3">
      <c r="A298" s="30"/>
      <c r="B298" s="30"/>
    </row>
    <row r="299" spans="1:2" x14ac:dyDescent="0.3">
      <c r="A299" s="30"/>
      <c r="B299" s="30"/>
    </row>
    <row r="300" spans="1:2" x14ac:dyDescent="0.3">
      <c r="A300" s="30"/>
      <c r="B300" s="30"/>
    </row>
    <row r="301" spans="1:2" x14ac:dyDescent="0.3">
      <c r="A301" s="30"/>
      <c r="B301" s="30"/>
    </row>
    <row r="302" spans="1:2" x14ac:dyDescent="0.3">
      <c r="A302" s="30"/>
      <c r="B302" s="30"/>
    </row>
    <row r="303" spans="1:2" x14ac:dyDescent="0.3">
      <c r="A303" s="30"/>
      <c r="B303" s="30"/>
    </row>
    <row r="304" spans="1:2" x14ac:dyDescent="0.3">
      <c r="A304" s="30"/>
      <c r="B304" s="30"/>
    </row>
    <row r="305" spans="1:2" x14ac:dyDescent="0.3">
      <c r="A305" s="30"/>
      <c r="B305" s="30"/>
    </row>
    <row r="306" spans="1:2" x14ac:dyDescent="0.3">
      <c r="A306" s="30"/>
      <c r="B306" s="30"/>
    </row>
    <row r="307" spans="1:2" x14ac:dyDescent="0.3">
      <c r="A307" s="30"/>
      <c r="B307" s="30"/>
    </row>
    <row r="308" spans="1:2" x14ac:dyDescent="0.3">
      <c r="A308" s="30"/>
      <c r="B308" s="30"/>
    </row>
    <row r="309" spans="1:2" x14ac:dyDescent="0.3">
      <c r="A309" s="30"/>
      <c r="B309" s="30"/>
    </row>
    <row r="310" spans="1:2" x14ac:dyDescent="0.3">
      <c r="A310" s="30"/>
      <c r="B310" s="30"/>
    </row>
    <row r="311" spans="1:2" x14ac:dyDescent="0.3">
      <c r="A311" s="30"/>
      <c r="B311" s="30"/>
    </row>
    <row r="312" spans="1:2" x14ac:dyDescent="0.3">
      <c r="A312" s="30"/>
      <c r="B312" s="30"/>
    </row>
    <row r="313" spans="1:2" x14ac:dyDescent="0.3">
      <c r="A313" s="30"/>
      <c r="B313" s="30"/>
    </row>
    <row r="314" spans="1:2" x14ac:dyDescent="0.3">
      <c r="A314" s="30"/>
      <c r="B314" s="30"/>
    </row>
    <row r="315" spans="1:2" x14ac:dyDescent="0.3">
      <c r="A315" s="30"/>
      <c r="B315" s="30"/>
    </row>
    <row r="316" spans="1:2" x14ac:dyDescent="0.3">
      <c r="A316" s="30"/>
      <c r="B316" s="30"/>
    </row>
    <row r="317" spans="1:2" x14ac:dyDescent="0.3">
      <c r="A317" s="30"/>
      <c r="B317" s="30"/>
    </row>
    <row r="318" spans="1:2" x14ac:dyDescent="0.3">
      <c r="A318" s="30"/>
      <c r="B318" s="30"/>
    </row>
    <row r="319" spans="1:2" x14ac:dyDescent="0.3">
      <c r="A319" s="30"/>
      <c r="B319" s="30"/>
    </row>
    <row r="320" spans="1:2" x14ac:dyDescent="0.3">
      <c r="A320" s="30"/>
      <c r="B320" s="30"/>
    </row>
    <row r="321" spans="1:2" x14ac:dyDescent="0.3">
      <c r="A321" s="30"/>
      <c r="B321" s="30"/>
    </row>
    <row r="322" spans="1:2" x14ac:dyDescent="0.3">
      <c r="A322" s="30"/>
      <c r="B322" s="30"/>
    </row>
    <row r="323" spans="1:2" x14ac:dyDescent="0.3">
      <c r="A323" s="30"/>
      <c r="B323" s="30"/>
    </row>
    <row r="324" spans="1:2" x14ac:dyDescent="0.3">
      <c r="A324" s="30"/>
      <c r="B324" s="30"/>
    </row>
    <row r="325" spans="1:2" x14ac:dyDescent="0.3">
      <c r="A325" s="30"/>
      <c r="B325" s="30"/>
    </row>
    <row r="326" spans="1:2" x14ac:dyDescent="0.3">
      <c r="A326" s="30"/>
      <c r="B326" s="30"/>
    </row>
    <row r="327" spans="1:2" x14ac:dyDescent="0.3">
      <c r="A327" s="30"/>
      <c r="B327" s="30"/>
    </row>
    <row r="328" spans="1:2" x14ac:dyDescent="0.3">
      <c r="A328" s="30"/>
      <c r="B328" s="30"/>
    </row>
    <row r="329" spans="1:2" x14ac:dyDescent="0.3">
      <c r="A329" s="30"/>
      <c r="B329" s="30"/>
    </row>
    <row r="330" spans="1:2" x14ac:dyDescent="0.3">
      <c r="A330" s="30"/>
      <c r="B330" s="30"/>
    </row>
    <row r="331" spans="1:2" x14ac:dyDescent="0.3">
      <c r="A331" s="30"/>
      <c r="B331" s="30"/>
    </row>
    <row r="332" spans="1:2" x14ac:dyDescent="0.3">
      <c r="A332" s="30"/>
      <c r="B332" s="30"/>
    </row>
    <row r="333" spans="1:2" x14ac:dyDescent="0.3">
      <c r="A333" s="30"/>
      <c r="B333" s="30"/>
    </row>
    <row r="334" spans="1:2" x14ac:dyDescent="0.3">
      <c r="A334" s="30"/>
      <c r="B334" s="30"/>
    </row>
    <row r="335" spans="1:2" x14ac:dyDescent="0.3">
      <c r="A335" s="30"/>
      <c r="B335" s="30"/>
    </row>
    <row r="336" spans="1:2" x14ac:dyDescent="0.3">
      <c r="A336" s="30"/>
      <c r="B336" s="30"/>
    </row>
    <row r="337" spans="1:2" x14ac:dyDescent="0.3">
      <c r="A337" s="30"/>
      <c r="B337" s="30"/>
    </row>
    <row r="338" spans="1:2" x14ac:dyDescent="0.3">
      <c r="A338" s="30"/>
      <c r="B338" s="30"/>
    </row>
    <row r="339" spans="1:2" x14ac:dyDescent="0.3">
      <c r="A339" s="30"/>
      <c r="B339" s="30"/>
    </row>
    <row r="340" spans="1:2" x14ac:dyDescent="0.3">
      <c r="A340" s="30"/>
      <c r="B340" s="30"/>
    </row>
    <row r="341" spans="1:2" x14ac:dyDescent="0.3">
      <c r="A341" s="30"/>
      <c r="B341" s="30"/>
    </row>
    <row r="342" spans="1:2" x14ac:dyDescent="0.3">
      <c r="A342" s="30"/>
      <c r="B342" s="30"/>
    </row>
    <row r="343" spans="1:2" x14ac:dyDescent="0.3">
      <c r="A343" s="30"/>
      <c r="B343" s="30"/>
    </row>
    <row r="344" spans="1:2" x14ac:dyDescent="0.3">
      <c r="A344" s="30"/>
      <c r="B344" s="30"/>
    </row>
    <row r="345" spans="1:2" x14ac:dyDescent="0.3">
      <c r="A345" s="30"/>
      <c r="B345" s="30"/>
    </row>
    <row r="346" spans="1:2" x14ac:dyDescent="0.3">
      <c r="A346" s="30"/>
      <c r="B346" s="30"/>
    </row>
    <row r="347" spans="1:2" x14ac:dyDescent="0.3">
      <c r="A347" s="30"/>
      <c r="B347" s="30"/>
    </row>
    <row r="348" spans="1:2" x14ac:dyDescent="0.3">
      <c r="A348" s="30"/>
      <c r="B348" s="30"/>
    </row>
    <row r="349" spans="1:2" x14ac:dyDescent="0.3">
      <c r="A349" s="30"/>
      <c r="B349" s="30"/>
    </row>
    <row r="350" spans="1:2" x14ac:dyDescent="0.3">
      <c r="A350" s="30"/>
      <c r="B350" s="30"/>
    </row>
    <row r="351" spans="1:2" x14ac:dyDescent="0.3">
      <c r="A351" s="30"/>
      <c r="B351" s="30"/>
    </row>
    <row r="352" spans="1:2" x14ac:dyDescent="0.3">
      <c r="A352" s="30"/>
      <c r="B352" s="30"/>
    </row>
    <row r="353" spans="1:2" x14ac:dyDescent="0.3">
      <c r="A353" s="30"/>
      <c r="B353" s="30"/>
    </row>
    <row r="354" spans="1:2" x14ac:dyDescent="0.3">
      <c r="A354" s="30"/>
      <c r="B354" s="30"/>
    </row>
    <row r="355" spans="1:2" x14ac:dyDescent="0.3">
      <c r="A355" s="30"/>
      <c r="B355" s="30"/>
    </row>
    <row r="356" spans="1:2" x14ac:dyDescent="0.3">
      <c r="A356" s="30"/>
      <c r="B356" s="30"/>
    </row>
    <row r="357" spans="1:2" x14ac:dyDescent="0.3">
      <c r="A357" s="30"/>
      <c r="B357" s="30"/>
    </row>
    <row r="358" spans="1:2" x14ac:dyDescent="0.3">
      <c r="A358" s="30"/>
      <c r="B358" s="30"/>
    </row>
    <row r="359" spans="1:2" x14ac:dyDescent="0.3">
      <c r="A359" s="30"/>
      <c r="B359" s="30"/>
    </row>
    <row r="360" spans="1:2" x14ac:dyDescent="0.3">
      <c r="A360" s="30"/>
      <c r="B360" s="30"/>
    </row>
    <row r="361" spans="1:2" x14ac:dyDescent="0.3">
      <c r="A361" s="30"/>
      <c r="B361" s="30"/>
    </row>
    <row r="362" spans="1:2" x14ac:dyDescent="0.3">
      <c r="A362" s="30"/>
      <c r="B362" s="30"/>
    </row>
    <row r="363" spans="1:2" x14ac:dyDescent="0.3">
      <c r="A363" s="30"/>
      <c r="B363" s="30"/>
    </row>
    <row r="364" spans="1:2" x14ac:dyDescent="0.3">
      <c r="A364" s="30"/>
      <c r="B364" s="30"/>
    </row>
    <row r="365" spans="1:2" x14ac:dyDescent="0.3">
      <c r="A365" s="30"/>
      <c r="B365" s="30"/>
    </row>
    <row r="366" spans="1:2" x14ac:dyDescent="0.3">
      <c r="A366" s="30"/>
      <c r="B366" s="30"/>
    </row>
    <row r="367" spans="1:2" x14ac:dyDescent="0.3">
      <c r="A367" s="30"/>
      <c r="B367" s="30"/>
    </row>
    <row r="368" spans="1:2" x14ac:dyDescent="0.3">
      <c r="A368" s="30"/>
      <c r="B368" s="30"/>
    </row>
    <row r="369" spans="1:2" x14ac:dyDescent="0.3">
      <c r="A369" s="30"/>
      <c r="B369" s="30"/>
    </row>
    <row r="370" spans="1:2" x14ac:dyDescent="0.3">
      <c r="A370" s="30"/>
      <c r="B370" s="30"/>
    </row>
    <row r="371" spans="1:2" x14ac:dyDescent="0.3">
      <c r="A371" s="30"/>
      <c r="B371" s="30"/>
    </row>
    <row r="372" spans="1:2" x14ac:dyDescent="0.3">
      <c r="A372" s="30"/>
      <c r="B372" s="30"/>
    </row>
    <row r="373" spans="1:2" x14ac:dyDescent="0.3">
      <c r="A373" s="30"/>
      <c r="B373" s="30"/>
    </row>
    <row r="374" spans="1:2" x14ac:dyDescent="0.3">
      <c r="A374" s="30"/>
      <c r="B374" s="30"/>
    </row>
    <row r="375" spans="1:2" x14ac:dyDescent="0.3">
      <c r="A375" s="30"/>
      <c r="B375" s="30"/>
    </row>
    <row r="376" spans="1:2" x14ac:dyDescent="0.3">
      <c r="A376" s="30"/>
      <c r="B376" s="30"/>
    </row>
    <row r="377" spans="1:2" x14ac:dyDescent="0.3">
      <c r="A377" s="30"/>
      <c r="B377" s="30"/>
    </row>
    <row r="378" spans="1:2" x14ac:dyDescent="0.3">
      <c r="A378" s="30"/>
      <c r="B378" s="30"/>
    </row>
    <row r="379" spans="1:2" x14ac:dyDescent="0.3">
      <c r="A379" s="30"/>
      <c r="B379" s="30"/>
    </row>
    <row r="380" spans="1:2" x14ac:dyDescent="0.3">
      <c r="A380" s="30"/>
      <c r="B380" s="30"/>
    </row>
    <row r="381" spans="1:2" x14ac:dyDescent="0.3">
      <c r="A381" s="30"/>
      <c r="B381" s="30"/>
    </row>
    <row r="382" spans="1:2" x14ac:dyDescent="0.3">
      <c r="A382" s="30"/>
      <c r="B382" s="30"/>
    </row>
    <row r="383" spans="1:2" x14ac:dyDescent="0.3">
      <c r="A383" s="30"/>
      <c r="B383" s="30"/>
    </row>
    <row r="384" spans="1:2" x14ac:dyDescent="0.3">
      <c r="A384" s="30"/>
      <c r="B384" s="30"/>
    </row>
    <row r="385" spans="1:2" x14ac:dyDescent="0.3">
      <c r="A385" s="30"/>
      <c r="B385" s="30"/>
    </row>
    <row r="386" spans="1:2" x14ac:dyDescent="0.3">
      <c r="A386" s="30"/>
      <c r="B386" s="30"/>
    </row>
    <row r="387" spans="1:2" x14ac:dyDescent="0.3">
      <c r="A387" s="30"/>
      <c r="B387" s="30"/>
    </row>
    <row r="388" spans="1:2" x14ac:dyDescent="0.3">
      <c r="A388" s="30"/>
      <c r="B388" s="30"/>
    </row>
    <row r="389" spans="1:2" x14ac:dyDescent="0.3">
      <c r="A389" s="30"/>
      <c r="B389" s="30"/>
    </row>
    <row r="390" spans="1:2" x14ac:dyDescent="0.3">
      <c r="A390" s="30"/>
      <c r="B390" s="30"/>
    </row>
    <row r="391" spans="1:2" x14ac:dyDescent="0.3">
      <c r="A391" s="30"/>
      <c r="B391" s="30"/>
    </row>
    <row r="392" spans="1:2" x14ac:dyDescent="0.3">
      <c r="A392" s="30"/>
      <c r="B392" s="30"/>
    </row>
    <row r="393" spans="1:2" x14ac:dyDescent="0.3">
      <c r="A393" s="30"/>
      <c r="B393" s="30"/>
    </row>
    <row r="394" spans="1:2" x14ac:dyDescent="0.3">
      <c r="A394" s="30"/>
      <c r="B394" s="30"/>
    </row>
    <row r="395" spans="1:2" x14ac:dyDescent="0.3">
      <c r="A395" s="30"/>
      <c r="B395" s="30"/>
    </row>
    <row r="396" spans="1:2" x14ac:dyDescent="0.3">
      <c r="A396" s="30"/>
      <c r="B396" s="30"/>
    </row>
    <row r="397" spans="1:2" x14ac:dyDescent="0.3">
      <c r="A397" s="30"/>
      <c r="B397" s="30"/>
    </row>
    <row r="398" spans="1:2" x14ac:dyDescent="0.3">
      <c r="A398" s="30"/>
      <c r="B398" s="30"/>
    </row>
    <row r="399" spans="1:2" x14ac:dyDescent="0.3">
      <c r="A399" s="30"/>
      <c r="B399" s="30"/>
    </row>
    <row r="400" spans="1:2" x14ac:dyDescent="0.3">
      <c r="A400" s="30"/>
      <c r="B400" s="30"/>
    </row>
    <row r="401" spans="1:2" x14ac:dyDescent="0.3">
      <c r="A401" s="30"/>
      <c r="B401" s="30"/>
    </row>
    <row r="402" spans="1:2" x14ac:dyDescent="0.3">
      <c r="A402" s="30"/>
      <c r="B402" s="30"/>
    </row>
    <row r="403" spans="1:2" x14ac:dyDescent="0.3">
      <c r="A403" s="30"/>
      <c r="B403" s="30"/>
    </row>
    <row r="404" spans="1:2" x14ac:dyDescent="0.3">
      <c r="A404" s="30"/>
      <c r="B404" s="30"/>
    </row>
    <row r="405" spans="1:2" x14ac:dyDescent="0.3">
      <c r="A405" s="30"/>
      <c r="B405" s="30"/>
    </row>
    <row r="406" spans="1:2" x14ac:dyDescent="0.3">
      <c r="A406" s="30"/>
      <c r="B406" s="30"/>
    </row>
    <row r="407" spans="1:2" x14ac:dyDescent="0.3">
      <c r="A407" s="30"/>
      <c r="B407" s="30"/>
    </row>
    <row r="408" spans="1:2" x14ac:dyDescent="0.3">
      <c r="A408" s="30"/>
      <c r="B408" s="30"/>
    </row>
    <row r="409" spans="1:2" x14ac:dyDescent="0.3">
      <c r="A409" s="30"/>
      <c r="B409" s="30"/>
    </row>
    <row r="410" spans="1:2" x14ac:dyDescent="0.3">
      <c r="A410" s="30"/>
      <c r="B410" s="30"/>
    </row>
    <row r="411" spans="1:2" x14ac:dyDescent="0.3">
      <c r="A411" s="30"/>
      <c r="B411" s="30"/>
    </row>
    <row r="412" spans="1:2" x14ac:dyDescent="0.3">
      <c r="A412" s="30"/>
      <c r="B412" s="30"/>
    </row>
    <row r="413" spans="1:2" x14ac:dyDescent="0.3">
      <c r="A413" s="30"/>
      <c r="B413" s="30"/>
    </row>
    <row r="414" spans="1:2" x14ac:dyDescent="0.3">
      <c r="A414" s="30"/>
      <c r="B414" s="30"/>
    </row>
    <row r="415" spans="1:2" x14ac:dyDescent="0.3">
      <c r="A415" s="30"/>
      <c r="B415" s="30"/>
    </row>
    <row r="416" spans="1:2" x14ac:dyDescent="0.3">
      <c r="A416" s="30"/>
      <c r="B416" s="30"/>
    </row>
    <row r="417" spans="1:2" x14ac:dyDescent="0.3">
      <c r="A417" s="30"/>
      <c r="B417" s="30"/>
    </row>
    <row r="418" spans="1:2" x14ac:dyDescent="0.3">
      <c r="A418" s="30"/>
      <c r="B418" s="30"/>
    </row>
    <row r="419" spans="1:2" x14ac:dyDescent="0.3">
      <c r="A419" s="30"/>
      <c r="B419" s="30"/>
    </row>
    <row r="420" spans="1:2" x14ac:dyDescent="0.3">
      <c r="A420" s="30"/>
      <c r="B420" s="30"/>
    </row>
    <row r="421" spans="1:2" x14ac:dyDescent="0.3">
      <c r="A421" s="30"/>
      <c r="B421" s="30"/>
    </row>
    <row r="422" spans="1:2" x14ac:dyDescent="0.3">
      <c r="A422" s="30"/>
      <c r="B422" s="30"/>
    </row>
    <row r="423" spans="1:2" x14ac:dyDescent="0.3">
      <c r="A423" s="30"/>
      <c r="B423" s="30"/>
    </row>
    <row r="424" spans="1:2" x14ac:dyDescent="0.3">
      <c r="A424" s="30"/>
      <c r="B424" s="30"/>
    </row>
    <row r="425" spans="1:2" x14ac:dyDescent="0.3">
      <c r="A425" s="30"/>
      <c r="B425" s="30"/>
    </row>
    <row r="426" spans="1:2" x14ac:dyDescent="0.3">
      <c r="A426" s="30"/>
      <c r="B426" s="30"/>
    </row>
    <row r="427" spans="1:2" x14ac:dyDescent="0.3">
      <c r="A427" s="30"/>
      <c r="B427" s="30"/>
    </row>
    <row r="428" spans="1:2" x14ac:dyDescent="0.3">
      <c r="A428" s="30"/>
      <c r="B428" s="30"/>
    </row>
    <row r="429" spans="1:2" x14ac:dyDescent="0.3">
      <c r="A429" s="30"/>
      <c r="B429" s="30"/>
    </row>
    <row r="430" spans="1:2" x14ac:dyDescent="0.3">
      <c r="A430" s="30"/>
      <c r="B430" s="30"/>
    </row>
    <row r="431" spans="1:2" x14ac:dyDescent="0.3">
      <c r="A431" s="30"/>
      <c r="B431" s="30"/>
    </row>
    <row r="432" spans="1:2" x14ac:dyDescent="0.3">
      <c r="A432" s="30"/>
      <c r="B432" s="30"/>
    </row>
    <row r="433" spans="1:2" x14ac:dyDescent="0.3">
      <c r="A433" s="30"/>
      <c r="B433" s="30"/>
    </row>
    <row r="434" spans="1:2" x14ac:dyDescent="0.3">
      <c r="A434" s="30"/>
      <c r="B434" s="30"/>
    </row>
    <row r="435" spans="1:2" x14ac:dyDescent="0.3">
      <c r="A435" s="30"/>
      <c r="B435" s="30"/>
    </row>
    <row r="436" spans="1:2" x14ac:dyDescent="0.3">
      <c r="A436" s="30"/>
      <c r="B436" s="30"/>
    </row>
    <row r="437" spans="1:2" x14ac:dyDescent="0.3">
      <c r="A437" s="30"/>
      <c r="B437" s="30"/>
    </row>
    <row r="438" spans="1:2" x14ac:dyDescent="0.3">
      <c r="A438" s="30"/>
      <c r="B438" s="30"/>
    </row>
    <row r="439" spans="1:2" x14ac:dyDescent="0.3">
      <c r="A439" s="30"/>
      <c r="B439" s="30"/>
    </row>
    <row r="440" spans="1:2" x14ac:dyDescent="0.3">
      <c r="A440" s="30"/>
      <c r="B440" s="30"/>
    </row>
    <row r="441" spans="1:2" x14ac:dyDescent="0.3">
      <c r="A441" s="30"/>
      <c r="B441" s="30"/>
    </row>
    <row r="442" spans="1:2" x14ac:dyDescent="0.3">
      <c r="A442" s="30"/>
      <c r="B442" s="30"/>
    </row>
    <row r="443" spans="1:2" x14ac:dyDescent="0.3">
      <c r="A443" s="30"/>
      <c r="B443" s="30"/>
    </row>
    <row r="444" spans="1:2" x14ac:dyDescent="0.3">
      <c r="A444" s="30"/>
      <c r="B444" s="30"/>
    </row>
    <row r="445" spans="1:2" x14ac:dyDescent="0.3">
      <c r="A445" s="30"/>
      <c r="B445" s="30"/>
    </row>
    <row r="446" spans="1:2" x14ac:dyDescent="0.3">
      <c r="A446" s="30"/>
      <c r="B446" s="30"/>
    </row>
    <row r="447" spans="1:2" x14ac:dyDescent="0.3">
      <c r="A447" s="30"/>
      <c r="B447" s="30"/>
    </row>
    <row r="448" spans="1:2" x14ac:dyDescent="0.3">
      <c r="A448" s="30"/>
      <c r="B448" s="30"/>
    </row>
    <row r="449" spans="1:2" x14ac:dyDescent="0.3">
      <c r="A449" s="30"/>
      <c r="B449" s="30"/>
    </row>
    <row r="450" spans="1:2" x14ac:dyDescent="0.3">
      <c r="A450" s="30"/>
      <c r="B450" s="30"/>
    </row>
    <row r="451" spans="1:2" x14ac:dyDescent="0.3">
      <c r="A451" s="30"/>
      <c r="B451" s="30"/>
    </row>
    <row r="452" spans="1:2" x14ac:dyDescent="0.3">
      <c r="A452" s="30"/>
      <c r="B452" s="30"/>
    </row>
    <row r="453" spans="1:2" x14ac:dyDescent="0.3">
      <c r="A453" s="30"/>
      <c r="B453" s="30"/>
    </row>
    <row r="454" spans="1:2" x14ac:dyDescent="0.3">
      <c r="A454" s="30"/>
      <c r="B454" s="30"/>
    </row>
    <row r="455" spans="1:2" x14ac:dyDescent="0.3">
      <c r="A455" s="30"/>
      <c r="B455" s="30"/>
    </row>
    <row r="456" spans="1:2" x14ac:dyDescent="0.3">
      <c r="A456" s="30"/>
      <c r="B456" s="30"/>
    </row>
    <row r="457" spans="1:2" x14ac:dyDescent="0.3">
      <c r="A457" s="30"/>
      <c r="B457" s="30"/>
    </row>
    <row r="458" spans="1:2" x14ac:dyDescent="0.3">
      <c r="A458" s="30"/>
      <c r="B458" s="30"/>
    </row>
    <row r="459" spans="1:2" x14ac:dyDescent="0.3">
      <c r="A459" s="30"/>
      <c r="B459" s="30"/>
    </row>
    <row r="460" spans="1:2" x14ac:dyDescent="0.3">
      <c r="A460" s="30"/>
      <c r="B460" s="30"/>
    </row>
    <row r="461" spans="1:2" x14ac:dyDescent="0.3">
      <c r="A461" s="30"/>
      <c r="B461" s="30"/>
    </row>
    <row r="462" spans="1:2" x14ac:dyDescent="0.3">
      <c r="A462" s="30"/>
      <c r="B462" s="30"/>
    </row>
    <row r="463" spans="1:2" x14ac:dyDescent="0.3">
      <c r="A463" s="30"/>
      <c r="B463" s="30"/>
    </row>
    <row r="464" spans="1:2" x14ac:dyDescent="0.3">
      <c r="A464" s="30"/>
      <c r="B464" s="30"/>
    </row>
    <row r="465" spans="1:2" x14ac:dyDescent="0.3">
      <c r="A465" s="30"/>
      <c r="B465" s="30"/>
    </row>
    <row r="466" spans="1:2" x14ac:dyDescent="0.3">
      <c r="A466" s="30"/>
      <c r="B466" s="30"/>
    </row>
    <row r="467" spans="1:2" x14ac:dyDescent="0.3">
      <c r="A467" s="30"/>
      <c r="B467" s="30"/>
    </row>
    <row r="468" spans="1:2" x14ac:dyDescent="0.3">
      <c r="A468" s="30"/>
      <c r="B468" s="30"/>
    </row>
    <row r="469" spans="1:2" x14ac:dyDescent="0.3">
      <c r="A469" s="30"/>
      <c r="B469" s="30"/>
    </row>
    <row r="470" spans="1:2" x14ac:dyDescent="0.3">
      <c r="A470" s="30"/>
      <c r="B470" s="30"/>
    </row>
    <row r="471" spans="1:2" x14ac:dyDescent="0.3">
      <c r="A471" s="30"/>
      <c r="B471" s="30"/>
    </row>
    <row r="472" spans="1:2" x14ac:dyDescent="0.3">
      <c r="A472" s="30"/>
      <c r="B472" s="30"/>
    </row>
    <row r="473" spans="1:2" x14ac:dyDescent="0.3">
      <c r="A473" s="30"/>
      <c r="B473" s="30"/>
    </row>
    <row r="474" spans="1:2" x14ac:dyDescent="0.3">
      <c r="A474" s="30"/>
      <c r="B474" s="30"/>
    </row>
    <row r="475" spans="1:2" x14ac:dyDescent="0.3">
      <c r="A475" s="30"/>
      <c r="B475" s="30"/>
    </row>
    <row r="476" spans="1:2" x14ac:dyDescent="0.3">
      <c r="A476" s="30"/>
      <c r="B476" s="30"/>
    </row>
    <row r="477" spans="1:2" x14ac:dyDescent="0.3">
      <c r="A477" s="30"/>
      <c r="B477" s="30"/>
    </row>
    <row r="478" spans="1:2" x14ac:dyDescent="0.3">
      <c r="A478" s="30"/>
      <c r="B478" s="30"/>
    </row>
    <row r="479" spans="1:2" x14ac:dyDescent="0.3">
      <c r="A479" s="30"/>
      <c r="B479" s="30"/>
    </row>
    <row r="480" spans="1:2" x14ac:dyDescent="0.3">
      <c r="A480" s="30"/>
      <c r="B480" s="30"/>
    </row>
    <row r="481" spans="1:2" x14ac:dyDescent="0.3">
      <c r="A481" s="30"/>
      <c r="B481" s="30"/>
    </row>
    <row r="482" spans="1:2" x14ac:dyDescent="0.3">
      <c r="A482" s="30"/>
      <c r="B482" s="30"/>
    </row>
    <row r="483" spans="1:2" x14ac:dyDescent="0.3">
      <c r="A483" s="30"/>
      <c r="B483" s="30"/>
    </row>
    <row r="484" spans="1:2" x14ac:dyDescent="0.3">
      <c r="A484" s="30"/>
      <c r="B484" s="30"/>
    </row>
    <row r="485" spans="1:2" x14ac:dyDescent="0.3">
      <c r="A485" s="30"/>
      <c r="B485" s="30"/>
    </row>
    <row r="486" spans="1:2" x14ac:dyDescent="0.3">
      <c r="A486" s="30"/>
      <c r="B486" s="30"/>
    </row>
    <row r="487" spans="1:2" x14ac:dyDescent="0.3">
      <c r="A487" s="30"/>
      <c r="B487" s="30"/>
    </row>
    <row r="488" spans="1:2" x14ac:dyDescent="0.3">
      <c r="A488" s="30"/>
      <c r="B488" s="30"/>
    </row>
    <row r="489" spans="1:2" x14ac:dyDescent="0.3">
      <c r="A489" s="30"/>
      <c r="B489" s="30"/>
    </row>
    <row r="490" spans="1:2" x14ac:dyDescent="0.3">
      <c r="A490" s="30"/>
      <c r="B490" s="30"/>
    </row>
    <row r="491" spans="1:2" x14ac:dyDescent="0.3">
      <c r="A491" s="30"/>
      <c r="B491" s="30"/>
    </row>
    <row r="492" spans="1:2" x14ac:dyDescent="0.3">
      <c r="A492" s="30"/>
      <c r="B492" s="30"/>
    </row>
    <row r="493" spans="1:2" x14ac:dyDescent="0.3">
      <c r="A493" s="30"/>
      <c r="B493" s="30"/>
    </row>
    <row r="494" spans="1:2" x14ac:dyDescent="0.3">
      <c r="A494" s="30"/>
      <c r="B494" s="30"/>
    </row>
    <row r="495" spans="1:2" x14ac:dyDescent="0.3">
      <c r="A495" s="30"/>
      <c r="B495" s="30"/>
    </row>
    <row r="496" spans="1:2" x14ac:dyDescent="0.3">
      <c r="A496" s="30"/>
      <c r="B496" s="30"/>
    </row>
    <row r="497" spans="1:2" x14ac:dyDescent="0.3">
      <c r="A497" s="30"/>
      <c r="B497" s="30"/>
    </row>
    <row r="498" spans="1:2" x14ac:dyDescent="0.3">
      <c r="A498" s="30"/>
      <c r="B498" s="30"/>
    </row>
    <row r="499" spans="1:2" x14ac:dyDescent="0.3">
      <c r="A499" s="30"/>
      <c r="B499" s="30"/>
    </row>
    <row r="500" spans="1:2" x14ac:dyDescent="0.3">
      <c r="A500" s="30"/>
      <c r="B500" s="30"/>
    </row>
    <row r="501" spans="1:2" x14ac:dyDescent="0.3">
      <c r="A501" s="30"/>
      <c r="B501" s="30"/>
    </row>
    <row r="502" spans="1:2" x14ac:dyDescent="0.3">
      <c r="A502" s="30"/>
      <c r="B502" s="30"/>
    </row>
    <row r="503" spans="1:2" x14ac:dyDescent="0.3">
      <c r="A503" s="30"/>
      <c r="B503" s="30"/>
    </row>
    <row r="504" spans="1:2" x14ac:dyDescent="0.3">
      <c r="A504" s="30"/>
      <c r="B504" s="30"/>
    </row>
    <row r="505" spans="1:2" x14ac:dyDescent="0.3">
      <c r="A505" s="30"/>
      <c r="B505" s="30"/>
    </row>
    <row r="506" spans="1:2" x14ac:dyDescent="0.3">
      <c r="A506" s="30"/>
      <c r="B506" s="30"/>
    </row>
    <row r="507" spans="1:2" x14ac:dyDescent="0.3">
      <c r="A507" s="30"/>
      <c r="B507" s="30"/>
    </row>
    <row r="508" spans="1:2" x14ac:dyDescent="0.3">
      <c r="A508" s="30"/>
      <c r="B508" s="30"/>
    </row>
    <row r="509" spans="1:2" x14ac:dyDescent="0.3">
      <c r="A509" s="30"/>
      <c r="B509" s="30"/>
    </row>
    <row r="510" spans="1:2" x14ac:dyDescent="0.3">
      <c r="A510" s="30"/>
      <c r="B510" s="30"/>
    </row>
    <row r="511" spans="1:2" x14ac:dyDescent="0.3">
      <c r="A511" s="30"/>
      <c r="B511" s="30"/>
    </row>
    <row r="512" spans="1:2" x14ac:dyDescent="0.3">
      <c r="A512" s="30"/>
      <c r="B512" s="30"/>
    </row>
    <row r="513" spans="1:2" x14ac:dyDescent="0.3">
      <c r="A513" s="30"/>
      <c r="B513" s="30"/>
    </row>
    <row r="514" spans="1:2" x14ac:dyDescent="0.3">
      <c r="A514" s="30"/>
      <c r="B514" s="30"/>
    </row>
    <row r="515" spans="1:2" x14ac:dyDescent="0.3">
      <c r="A515" s="30"/>
      <c r="B515" s="30"/>
    </row>
    <row r="516" spans="1:2" x14ac:dyDescent="0.3">
      <c r="A516" s="30"/>
      <c r="B516" s="30"/>
    </row>
    <row r="517" spans="1:2" x14ac:dyDescent="0.3">
      <c r="A517" s="30"/>
      <c r="B517" s="30"/>
    </row>
    <row r="518" spans="1:2" x14ac:dyDescent="0.3">
      <c r="A518" s="30"/>
      <c r="B518" s="30"/>
    </row>
    <row r="519" spans="1:2" x14ac:dyDescent="0.3">
      <c r="A519" s="30"/>
      <c r="B519" s="30"/>
    </row>
    <row r="520" spans="1:2" x14ac:dyDescent="0.3">
      <c r="A520" s="30"/>
      <c r="B520" s="30"/>
    </row>
    <row r="521" spans="1:2" x14ac:dyDescent="0.3">
      <c r="A521" s="30"/>
      <c r="B521" s="30"/>
    </row>
    <row r="522" spans="1:2" x14ac:dyDescent="0.3">
      <c r="A522" s="30"/>
      <c r="B522" s="30"/>
    </row>
    <row r="523" spans="1:2" x14ac:dyDescent="0.3">
      <c r="A523" s="30"/>
      <c r="B523" s="30"/>
    </row>
    <row r="524" spans="1:2" x14ac:dyDescent="0.3">
      <c r="A524" s="30"/>
      <c r="B524" s="30"/>
    </row>
    <row r="525" spans="1:2" x14ac:dyDescent="0.3">
      <c r="A525" s="30"/>
      <c r="B525" s="30"/>
    </row>
    <row r="526" spans="1:2" x14ac:dyDescent="0.3">
      <c r="A526" s="30"/>
      <c r="B526" s="30"/>
    </row>
    <row r="527" spans="1:2" x14ac:dyDescent="0.3">
      <c r="A527" s="30"/>
      <c r="B527" s="30"/>
    </row>
    <row r="528" spans="1:2" x14ac:dyDescent="0.3">
      <c r="A528" s="30"/>
      <c r="B528" s="30"/>
    </row>
    <row r="529" spans="1:2" x14ac:dyDescent="0.3">
      <c r="A529" s="30"/>
      <c r="B529" s="30"/>
    </row>
    <row r="530" spans="1:2" x14ac:dyDescent="0.3">
      <c r="A530" s="30"/>
      <c r="B530" s="30"/>
    </row>
    <row r="531" spans="1:2" x14ac:dyDescent="0.3">
      <c r="A531" s="30"/>
      <c r="B531" s="30"/>
    </row>
    <row r="532" spans="1:2" x14ac:dyDescent="0.3">
      <c r="A532" s="30"/>
      <c r="B532" s="30"/>
    </row>
    <row r="533" spans="1:2" x14ac:dyDescent="0.3">
      <c r="A533" s="30"/>
      <c r="B533" s="30"/>
    </row>
    <row r="534" spans="1:2" x14ac:dyDescent="0.3">
      <c r="A534" s="30"/>
      <c r="B534" s="30"/>
    </row>
    <row r="535" spans="1:2" x14ac:dyDescent="0.3">
      <c r="A535" s="30"/>
      <c r="B535" s="30"/>
    </row>
    <row r="536" spans="1:2" x14ac:dyDescent="0.3">
      <c r="A536" s="30"/>
      <c r="B536" s="30"/>
    </row>
    <row r="537" spans="1:2" x14ac:dyDescent="0.3">
      <c r="A537" s="30"/>
      <c r="B537" s="30"/>
    </row>
    <row r="538" spans="1:2" x14ac:dyDescent="0.3">
      <c r="A538" s="30"/>
      <c r="B538" s="30"/>
    </row>
    <row r="539" spans="1:2" x14ac:dyDescent="0.3">
      <c r="A539" s="30"/>
      <c r="B539" s="30"/>
    </row>
    <row r="540" spans="1:2" x14ac:dyDescent="0.3">
      <c r="A540" s="30"/>
      <c r="B540" s="30"/>
    </row>
    <row r="541" spans="1:2" x14ac:dyDescent="0.3">
      <c r="A541" s="30"/>
      <c r="B541" s="30"/>
    </row>
    <row r="542" spans="1:2" x14ac:dyDescent="0.3">
      <c r="A542" s="30"/>
      <c r="B542" s="30"/>
    </row>
    <row r="543" spans="1:2" x14ac:dyDescent="0.3">
      <c r="A543" s="30"/>
      <c r="B543" s="30"/>
    </row>
    <row r="544" spans="1:2" x14ac:dyDescent="0.3">
      <c r="A544" s="30"/>
      <c r="B544" s="30"/>
    </row>
    <row r="545" spans="1:2" x14ac:dyDescent="0.3">
      <c r="A545" s="30"/>
      <c r="B545" s="30"/>
    </row>
    <row r="546" spans="1:2" x14ac:dyDescent="0.3">
      <c r="A546" s="30"/>
      <c r="B546" s="30"/>
    </row>
    <row r="547" spans="1:2" x14ac:dyDescent="0.3">
      <c r="A547" s="30"/>
      <c r="B547" s="30"/>
    </row>
    <row r="548" spans="1:2" x14ac:dyDescent="0.3">
      <c r="A548" s="30"/>
      <c r="B548" s="30"/>
    </row>
    <row r="549" spans="1:2" x14ac:dyDescent="0.3">
      <c r="A549" s="30"/>
      <c r="B549" s="30"/>
    </row>
    <row r="550" spans="1:2" x14ac:dyDescent="0.3">
      <c r="A550" s="30"/>
      <c r="B550" s="30"/>
    </row>
    <row r="551" spans="1:2" x14ac:dyDescent="0.3">
      <c r="A551" s="30"/>
      <c r="B551" s="30"/>
    </row>
    <row r="552" spans="1:2" x14ac:dyDescent="0.3">
      <c r="A552" s="30"/>
      <c r="B552" s="30"/>
    </row>
    <row r="553" spans="1:2" x14ac:dyDescent="0.3">
      <c r="A553" s="30"/>
      <c r="B553" s="30"/>
    </row>
    <row r="554" spans="1:2" x14ac:dyDescent="0.3">
      <c r="A554" s="30"/>
      <c r="B554" s="30"/>
    </row>
    <row r="555" spans="1:2" x14ac:dyDescent="0.3">
      <c r="A555" s="30"/>
      <c r="B555" s="30"/>
    </row>
    <row r="556" spans="1:2" x14ac:dyDescent="0.3">
      <c r="A556" s="30"/>
      <c r="B556" s="30"/>
    </row>
    <row r="557" spans="1:2" x14ac:dyDescent="0.3">
      <c r="A557" s="30"/>
      <c r="B557" s="30"/>
    </row>
    <row r="558" spans="1:2" x14ac:dyDescent="0.3">
      <c r="A558" s="30"/>
      <c r="B558" s="30"/>
    </row>
    <row r="559" spans="1:2" x14ac:dyDescent="0.3">
      <c r="A559" s="30"/>
      <c r="B559" s="30"/>
    </row>
    <row r="560" spans="1:2" x14ac:dyDescent="0.3">
      <c r="A560" s="30"/>
      <c r="B560" s="30"/>
    </row>
    <row r="561" spans="1:2" x14ac:dyDescent="0.3">
      <c r="A561" s="30"/>
      <c r="B561" s="30"/>
    </row>
    <row r="562" spans="1:2" x14ac:dyDescent="0.3">
      <c r="A562" s="30"/>
      <c r="B562" s="30"/>
    </row>
    <row r="563" spans="1:2" x14ac:dyDescent="0.3">
      <c r="A563" s="30"/>
      <c r="B563" s="30"/>
    </row>
    <row r="564" spans="1:2" x14ac:dyDescent="0.3">
      <c r="A564" s="30"/>
      <c r="B564" s="30"/>
    </row>
    <row r="565" spans="1:2" x14ac:dyDescent="0.3">
      <c r="A565" s="30"/>
      <c r="B565" s="30"/>
    </row>
    <row r="566" spans="1:2" x14ac:dyDescent="0.3">
      <c r="A566" s="30"/>
      <c r="B566" s="30"/>
    </row>
    <row r="567" spans="1:2" x14ac:dyDescent="0.3">
      <c r="A567" s="30"/>
      <c r="B567" s="30"/>
    </row>
    <row r="568" spans="1:2" x14ac:dyDescent="0.3">
      <c r="A568" s="30"/>
      <c r="B568" s="30"/>
    </row>
    <row r="569" spans="1:2" x14ac:dyDescent="0.3">
      <c r="A569" s="30"/>
      <c r="B569" s="30"/>
    </row>
    <row r="570" spans="1:2" x14ac:dyDescent="0.3">
      <c r="A570" s="30"/>
      <c r="B570" s="30"/>
    </row>
    <row r="571" spans="1:2" x14ac:dyDescent="0.3">
      <c r="A571" s="30"/>
      <c r="B571" s="30"/>
    </row>
    <row r="572" spans="1:2" x14ac:dyDescent="0.3">
      <c r="A572" s="30"/>
      <c r="B572" s="30"/>
    </row>
    <row r="573" spans="1:2" x14ac:dyDescent="0.3">
      <c r="A573" s="30"/>
      <c r="B573" s="30"/>
    </row>
    <row r="574" spans="1:2" x14ac:dyDescent="0.3">
      <c r="A574" s="30"/>
      <c r="B574" s="30"/>
    </row>
    <row r="575" spans="1:2" x14ac:dyDescent="0.3">
      <c r="A575" s="30"/>
      <c r="B575" s="30"/>
    </row>
    <row r="576" spans="1:2" x14ac:dyDescent="0.3">
      <c r="A576" s="30"/>
      <c r="B576" s="30"/>
    </row>
    <row r="577" spans="1:2" x14ac:dyDescent="0.3">
      <c r="A577" s="30"/>
      <c r="B577" s="30"/>
    </row>
    <row r="578" spans="1:2" x14ac:dyDescent="0.3">
      <c r="A578" s="30"/>
      <c r="B578" s="30"/>
    </row>
    <row r="579" spans="1:2" x14ac:dyDescent="0.3">
      <c r="A579" s="30"/>
      <c r="B579" s="30"/>
    </row>
    <row r="580" spans="1:2" x14ac:dyDescent="0.3">
      <c r="A580" s="30"/>
      <c r="B580" s="30"/>
    </row>
    <row r="581" spans="1:2" x14ac:dyDescent="0.3">
      <c r="A581" s="30"/>
      <c r="B581" s="30"/>
    </row>
    <row r="582" spans="1:2" x14ac:dyDescent="0.3">
      <c r="A582" s="30"/>
      <c r="B582" s="30"/>
    </row>
    <row r="583" spans="1:2" x14ac:dyDescent="0.3">
      <c r="A583" s="30"/>
      <c r="B583" s="30"/>
    </row>
    <row r="584" spans="1:2" x14ac:dyDescent="0.3">
      <c r="A584" s="30"/>
      <c r="B584" s="30"/>
    </row>
    <row r="585" spans="1:2" x14ac:dyDescent="0.3">
      <c r="A585" s="30"/>
      <c r="B585" s="30"/>
    </row>
    <row r="586" spans="1:2" x14ac:dyDescent="0.3">
      <c r="A586" s="30"/>
      <c r="B586" s="30"/>
    </row>
    <row r="587" spans="1:2" x14ac:dyDescent="0.3">
      <c r="A587" s="30"/>
      <c r="B587" s="30"/>
    </row>
    <row r="588" spans="1:2" x14ac:dyDescent="0.3">
      <c r="A588" s="30"/>
      <c r="B588" s="30"/>
    </row>
    <row r="589" spans="1:2" x14ac:dyDescent="0.3">
      <c r="A589" s="30"/>
      <c r="B589" s="30"/>
    </row>
    <row r="590" spans="1:2" x14ac:dyDescent="0.3">
      <c r="A590" s="30"/>
      <c r="B590" s="30"/>
    </row>
    <row r="591" spans="1:2" x14ac:dyDescent="0.3">
      <c r="A591" s="30"/>
      <c r="B591" s="30"/>
    </row>
    <row r="592" spans="1:2" x14ac:dyDescent="0.3">
      <c r="A592" s="30"/>
      <c r="B592" s="30"/>
    </row>
    <row r="593" spans="1:2" x14ac:dyDescent="0.3">
      <c r="A593" s="30"/>
      <c r="B593" s="30"/>
    </row>
    <row r="594" spans="1:2" x14ac:dyDescent="0.3">
      <c r="A594" s="30"/>
      <c r="B594" s="30"/>
    </row>
    <row r="595" spans="1:2" x14ac:dyDescent="0.3">
      <c r="A595" s="30"/>
      <c r="B595" s="30"/>
    </row>
    <row r="596" spans="1:2" x14ac:dyDescent="0.3">
      <c r="A596" s="30"/>
      <c r="B596" s="30"/>
    </row>
    <row r="597" spans="1:2" x14ac:dyDescent="0.3">
      <c r="A597" s="30"/>
      <c r="B597" s="30"/>
    </row>
    <row r="598" spans="1:2" x14ac:dyDescent="0.3">
      <c r="A598" s="30"/>
      <c r="B598" s="30"/>
    </row>
    <row r="599" spans="1:2" x14ac:dyDescent="0.3">
      <c r="A599" s="30"/>
      <c r="B599" s="30"/>
    </row>
    <row r="600" spans="1:2" x14ac:dyDescent="0.3">
      <c r="A600" s="30"/>
      <c r="B600" s="30"/>
    </row>
    <row r="601" spans="1:2" x14ac:dyDescent="0.3">
      <c r="A601" s="30"/>
      <c r="B601" s="30"/>
    </row>
    <row r="602" spans="1:2" x14ac:dyDescent="0.3">
      <c r="A602" s="30"/>
      <c r="B602" s="30"/>
    </row>
    <row r="603" spans="1:2" x14ac:dyDescent="0.3">
      <c r="A603" s="30"/>
      <c r="B603" s="30"/>
    </row>
    <row r="604" spans="1:2" x14ac:dyDescent="0.3">
      <c r="A604" s="30"/>
      <c r="B604" s="30"/>
    </row>
    <row r="605" spans="1:2" x14ac:dyDescent="0.3">
      <c r="A605" s="30"/>
      <c r="B605" s="30"/>
    </row>
    <row r="606" spans="1:2" x14ac:dyDescent="0.3">
      <c r="A606" s="30"/>
      <c r="B606" s="30"/>
    </row>
    <row r="607" spans="1:2" x14ac:dyDescent="0.3">
      <c r="A607" s="30"/>
      <c r="B607" s="30"/>
    </row>
    <row r="608" spans="1:2" x14ac:dyDescent="0.3">
      <c r="A608" s="30"/>
      <c r="B608" s="30"/>
    </row>
    <row r="609" spans="1:2" x14ac:dyDescent="0.3">
      <c r="A609" s="30"/>
      <c r="B609" s="30"/>
    </row>
    <row r="610" spans="1:2" x14ac:dyDescent="0.3">
      <c r="A610" s="30"/>
      <c r="B610" s="30"/>
    </row>
    <row r="611" spans="1:2" x14ac:dyDescent="0.3">
      <c r="A611" s="30"/>
      <c r="B611" s="30"/>
    </row>
    <row r="612" spans="1:2" x14ac:dyDescent="0.3">
      <c r="A612" s="30"/>
      <c r="B612" s="30"/>
    </row>
    <row r="613" spans="1:2" x14ac:dyDescent="0.3">
      <c r="A613" s="30"/>
      <c r="B613" s="30"/>
    </row>
    <row r="614" spans="1:2" x14ac:dyDescent="0.3">
      <c r="A614" s="30"/>
      <c r="B614" s="30"/>
    </row>
    <row r="615" spans="1:2" x14ac:dyDescent="0.3">
      <c r="A615" s="30"/>
      <c r="B615" s="30"/>
    </row>
    <row r="616" spans="1:2" x14ac:dyDescent="0.3">
      <c r="A616" s="30"/>
      <c r="B616" s="30"/>
    </row>
    <row r="617" spans="1:2" x14ac:dyDescent="0.3">
      <c r="A617" s="30"/>
      <c r="B617" s="30"/>
    </row>
    <row r="618" spans="1:2" x14ac:dyDescent="0.3">
      <c r="A618" s="30"/>
      <c r="B618" s="30"/>
    </row>
    <row r="619" spans="1:2" x14ac:dyDescent="0.3">
      <c r="A619" s="30"/>
      <c r="B619" s="30"/>
    </row>
    <row r="620" spans="1:2" x14ac:dyDescent="0.3">
      <c r="A620" s="30"/>
      <c r="B620" s="30"/>
    </row>
    <row r="621" spans="1:2" x14ac:dyDescent="0.3">
      <c r="A621" s="30"/>
      <c r="B621" s="30"/>
    </row>
    <row r="622" spans="1:2" x14ac:dyDescent="0.3">
      <c r="A622" s="30"/>
      <c r="B622" s="30"/>
    </row>
    <row r="623" spans="1:2" x14ac:dyDescent="0.3">
      <c r="A623" s="30"/>
      <c r="B623" s="30"/>
    </row>
    <row r="624" spans="1:2" x14ac:dyDescent="0.3">
      <c r="A624" s="30"/>
      <c r="B624" s="30"/>
    </row>
    <row r="625" spans="1:2" x14ac:dyDescent="0.3">
      <c r="A625" s="30"/>
      <c r="B625" s="30"/>
    </row>
    <row r="626" spans="1:2" x14ac:dyDescent="0.3">
      <c r="A626" s="30"/>
      <c r="B626" s="30"/>
    </row>
    <row r="627" spans="1:2" x14ac:dyDescent="0.3">
      <c r="A627" s="30"/>
      <c r="B627" s="30"/>
    </row>
    <row r="628" spans="1:2" x14ac:dyDescent="0.3">
      <c r="A628" s="30"/>
      <c r="B628" s="30"/>
    </row>
    <row r="629" spans="1:2" x14ac:dyDescent="0.3">
      <c r="A629" s="30"/>
      <c r="B629" s="30"/>
    </row>
    <row r="630" spans="1:2" x14ac:dyDescent="0.3">
      <c r="A630" s="30"/>
      <c r="B630" s="30"/>
    </row>
    <row r="631" spans="1:2" x14ac:dyDescent="0.3">
      <c r="A631" s="30"/>
      <c r="B631" s="30"/>
    </row>
    <row r="632" spans="1:2" x14ac:dyDescent="0.3">
      <c r="A632" s="30"/>
      <c r="B632" s="30"/>
    </row>
    <row r="633" spans="1:2" x14ac:dyDescent="0.3">
      <c r="A633" s="30"/>
      <c r="B633" s="30"/>
    </row>
    <row r="634" spans="1:2" x14ac:dyDescent="0.3">
      <c r="A634" s="30"/>
      <c r="B634" s="30"/>
    </row>
    <row r="635" spans="1:2" x14ac:dyDescent="0.3">
      <c r="A635" s="30"/>
      <c r="B635" s="30"/>
    </row>
    <row r="636" spans="1:2" x14ac:dyDescent="0.3">
      <c r="A636" s="30"/>
      <c r="B636" s="30"/>
    </row>
    <row r="637" spans="1:2" x14ac:dyDescent="0.3">
      <c r="A637" s="30"/>
      <c r="B637" s="30"/>
    </row>
    <row r="638" spans="1:2" x14ac:dyDescent="0.3">
      <c r="A638" s="30"/>
      <c r="B638" s="30"/>
    </row>
    <row r="639" spans="1:2" x14ac:dyDescent="0.3">
      <c r="A639" s="30"/>
      <c r="B639" s="30"/>
    </row>
    <row r="640" spans="1:2" x14ac:dyDescent="0.3">
      <c r="A640" s="30"/>
      <c r="B640" s="30"/>
    </row>
    <row r="641" spans="1:2" x14ac:dyDescent="0.3">
      <c r="A641" s="30"/>
      <c r="B641" s="30"/>
    </row>
    <row r="642" spans="1:2" x14ac:dyDescent="0.3">
      <c r="A642" s="30"/>
      <c r="B642" s="30"/>
    </row>
    <row r="643" spans="1:2" x14ac:dyDescent="0.3">
      <c r="A643" s="30"/>
      <c r="B643" s="30"/>
    </row>
    <row r="644" spans="1:2" x14ac:dyDescent="0.3">
      <c r="A644" s="30"/>
      <c r="B644" s="30"/>
    </row>
    <row r="645" spans="1:2" x14ac:dyDescent="0.3">
      <c r="A645" s="30"/>
      <c r="B645" s="30"/>
    </row>
    <row r="646" spans="1:2" x14ac:dyDescent="0.3">
      <c r="A646" s="30"/>
      <c r="B646" s="30"/>
    </row>
    <row r="647" spans="1:2" x14ac:dyDescent="0.3">
      <c r="A647" s="30"/>
      <c r="B647" s="30"/>
    </row>
    <row r="648" spans="1:2" x14ac:dyDescent="0.3">
      <c r="A648" s="30"/>
      <c r="B648" s="30"/>
    </row>
    <row r="649" spans="1:2" x14ac:dyDescent="0.3">
      <c r="A649" s="30"/>
      <c r="B649" s="30"/>
    </row>
    <row r="650" spans="1:2" x14ac:dyDescent="0.3">
      <c r="A650" s="30"/>
      <c r="B650" s="30"/>
    </row>
    <row r="651" spans="1:2" x14ac:dyDescent="0.3">
      <c r="A651" s="30"/>
      <c r="B651" s="30"/>
    </row>
    <row r="652" spans="1:2" x14ac:dyDescent="0.3">
      <c r="A652" s="30"/>
      <c r="B652" s="30"/>
    </row>
    <row r="653" spans="1:2" x14ac:dyDescent="0.3">
      <c r="A653" s="30"/>
      <c r="B653" s="30"/>
    </row>
    <row r="654" spans="1:2" x14ac:dyDescent="0.3">
      <c r="A654" s="30"/>
      <c r="B654" s="30"/>
    </row>
    <row r="655" spans="1:2" x14ac:dyDescent="0.3">
      <c r="A655" s="30"/>
      <c r="B655" s="30"/>
    </row>
    <row r="656" spans="1:2" x14ac:dyDescent="0.3">
      <c r="A656" s="30"/>
      <c r="B656" s="30"/>
    </row>
    <row r="657" spans="1:2" x14ac:dyDescent="0.3">
      <c r="A657" s="30"/>
      <c r="B657" s="30"/>
    </row>
    <row r="658" spans="1:2" x14ac:dyDescent="0.3">
      <c r="A658" s="30"/>
      <c r="B658" s="30"/>
    </row>
    <row r="659" spans="1:2" x14ac:dyDescent="0.3">
      <c r="A659" s="30"/>
      <c r="B659" s="30"/>
    </row>
    <row r="660" spans="1:2" x14ac:dyDescent="0.3">
      <c r="A660" s="30"/>
      <c r="B660" s="30"/>
    </row>
    <row r="661" spans="1:2" x14ac:dyDescent="0.3">
      <c r="A661" s="30"/>
      <c r="B661" s="30"/>
    </row>
    <row r="662" spans="1:2" x14ac:dyDescent="0.3">
      <c r="A662" s="30"/>
      <c r="B662" s="30"/>
    </row>
    <row r="663" spans="1:2" x14ac:dyDescent="0.3">
      <c r="A663" s="30"/>
      <c r="B663" s="30"/>
    </row>
    <row r="664" spans="1:2" x14ac:dyDescent="0.3">
      <c r="A664" s="30"/>
      <c r="B664" s="30"/>
    </row>
    <row r="665" spans="1:2" x14ac:dyDescent="0.3">
      <c r="A665" s="30"/>
      <c r="B665" s="30"/>
    </row>
    <row r="666" spans="1:2" x14ac:dyDescent="0.3">
      <c r="A666" s="30"/>
      <c r="B666" s="30"/>
    </row>
    <row r="667" spans="1:2" x14ac:dyDescent="0.3">
      <c r="A667" s="30"/>
      <c r="B667" s="30"/>
    </row>
    <row r="668" spans="1:2" x14ac:dyDescent="0.3">
      <c r="A668" s="30"/>
      <c r="B668" s="30"/>
    </row>
    <row r="669" spans="1:2" x14ac:dyDescent="0.3">
      <c r="A669" s="30"/>
      <c r="B669" s="30"/>
    </row>
    <row r="670" spans="1:2" x14ac:dyDescent="0.3">
      <c r="A670" s="30"/>
      <c r="B670" s="30"/>
    </row>
    <row r="671" spans="1:2" x14ac:dyDescent="0.3">
      <c r="A671" s="30"/>
      <c r="B671" s="30"/>
    </row>
    <row r="672" spans="1:2" x14ac:dyDescent="0.3">
      <c r="A672" s="30"/>
      <c r="B672" s="30"/>
    </row>
    <row r="673" spans="1:2" x14ac:dyDescent="0.3">
      <c r="A673" s="30"/>
      <c r="B673" s="30"/>
    </row>
    <row r="674" spans="1:2" x14ac:dyDescent="0.3">
      <c r="A674" s="30"/>
      <c r="B674" s="30"/>
    </row>
    <row r="675" spans="1:2" x14ac:dyDescent="0.3">
      <c r="A675" s="30"/>
      <c r="B675" s="30"/>
    </row>
    <row r="676" spans="1:2" x14ac:dyDescent="0.3">
      <c r="A676" s="30"/>
      <c r="B676" s="30"/>
    </row>
    <row r="677" spans="1:2" x14ac:dyDescent="0.3">
      <c r="A677" s="30"/>
      <c r="B677" s="30"/>
    </row>
    <row r="678" spans="1:2" x14ac:dyDescent="0.3">
      <c r="A678" s="30"/>
      <c r="B678" s="30"/>
    </row>
    <row r="679" spans="1:2" x14ac:dyDescent="0.3">
      <c r="A679" s="30"/>
      <c r="B679" s="30"/>
    </row>
    <row r="680" spans="1:2" x14ac:dyDescent="0.3">
      <c r="A680" s="30"/>
      <c r="B680" s="30"/>
    </row>
    <row r="681" spans="1:2" x14ac:dyDescent="0.3">
      <c r="A681" s="30"/>
      <c r="B681" s="30"/>
    </row>
    <row r="682" spans="1:2" x14ac:dyDescent="0.3">
      <c r="A682" s="30"/>
      <c r="B682" s="30"/>
    </row>
    <row r="683" spans="1:2" x14ac:dyDescent="0.3">
      <c r="A683" s="30"/>
      <c r="B683" s="30"/>
    </row>
    <row r="684" spans="1:2" x14ac:dyDescent="0.3">
      <c r="A684" s="30"/>
      <c r="B684" s="30"/>
    </row>
    <row r="685" spans="1:2" x14ac:dyDescent="0.3">
      <c r="A685" s="30"/>
      <c r="B685" s="30"/>
    </row>
    <row r="686" spans="1:2" x14ac:dyDescent="0.3">
      <c r="A686" s="30"/>
      <c r="B686" s="30"/>
    </row>
    <row r="687" spans="1:2" x14ac:dyDescent="0.3">
      <c r="A687" s="30"/>
      <c r="B687" s="30"/>
    </row>
    <row r="688" spans="1:2" x14ac:dyDescent="0.3">
      <c r="A688" s="30"/>
      <c r="B688" s="30"/>
    </row>
    <row r="689" spans="1:2" x14ac:dyDescent="0.3">
      <c r="A689" s="30"/>
      <c r="B689" s="30"/>
    </row>
    <row r="690" spans="1:2" x14ac:dyDescent="0.3">
      <c r="A690" s="30"/>
      <c r="B690" s="30"/>
    </row>
    <row r="691" spans="1:2" x14ac:dyDescent="0.3">
      <c r="A691" s="30"/>
      <c r="B691" s="30"/>
    </row>
    <row r="692" spans="1:2" x14ac:dyDescent="0.3">
      <c r="A692" s="30"/>
      <c r="B692" s="30"/>
    </row>
    <row r="693" spans="1:2" x14ac:dyDescent="0.3">
      <c r="A693" s="30"/>
      <c r="B693" s="30"/>
    </row>
    <row r="694" spans="1:2" x14ac:dyDescent="0.3">
      <c r="A694" s="30"/>
      <c r="B694" s="30"/>
    </row>
    <row r="695" spans="1:2" x14ac:dyDescent="0.3">
      <c r="A695" s="30"/>
      <c r="B695" s="30"/>
    </row>
    <row r="696" spans="1:2" x14ac:dyDescent="0.3">
      <c r="A696" s="30"/>
      <c r="B696" s="30"/>
    </row>
    <row r="697" spans="1:2" x14ac:dyDescent="0.3">
      <c r="A697" s="30"/>
      <c r="B697" s="30"/>
    </row>
    <row r="698" spans="1:2" x14ac:dyDescent="0.3">
      <c r="A698" s="30"/>
      <c r="B698" s="30"/>
    </row>
    <row r="699" spans="1:2" x14ac:dyDescent="0.3">
      <c r="A699" s="30"/>
      <c r="B699" s="30"/>
    </row>
    <row r="700" spans="1:2" x14ac:dyDescent="0.3">
      <c r="A700" s="30"/>
      <c r="B700" s="30"/>
    </row>
    <row r="701" spans="1:2" x14ac:dyDescent="0.3">
      <c r="A701" s="30"/>
      <c r="B701" s="30"/>
    </row>
    <row r="702" spans="1:2" x14ac:dyDescent="0.3">
      <c r="A702" s="30"/>
      <c r="B702" s="30"/>
    </row>
    <row r="703" spans="1:2" x14ac:dyDescent="0.3">
      <c r="A703" s="30"/>
      <c r="B703" s="30"/>
    </row>
    <row r="704" spans="1:2" x14ac:dyDescent="0.3">
      <c r="A704" s="30"/>
      <c r="B704" s="30"/>
    </row>
    <row r="705" spans="1:2" x14ac:dyDescent="0.3">
      <c r="A705" s="30"/>
      <c r="B705" s="30"/>
    </row>
    <row r="706" spans="1:2" x14ac:dyDescent="0.3">
      <c r="A706" s="30"/>
      <c r="B706" s="30"/>
    </row>
    <row r="707" spans="1:2" x14ac:dyDescent="0.3">
      <c r="A707" s="30"/>
      <c r="B707" s="30"/>
    </row>
    <row r="708" spans="1:2" x14ac:dyDescent="0.3">
      <c r="A708" s="30"/>
      <c r="B708" s="30"/>
    </row>
    <row r="709" spans="1:2" x14ac:dyDescent="0.3">
      <c r="A709" s="30"/>
      <c r="B709" s="30"/>
    </row>
    <row r="710" spans="1:2" x14ac:dyDescent="0.3">
      <c r="A710" s="30"/>
      <c r="B710" s="30"/>
    </row>
    <row r="711" spans="1:2" x14ac:dyDescent="0.3">
      <c r="A711" s="30"/>
      <c r="B711" s="30"/>
    </row>
    <row r="712" spans="1:2" x14ac:dyDescent="0.3">
      <c r="A712" s="30"/>
      <c r="B712" s="30"/>
    </row>
    <row r="713" spans="1:2" x14ac:dyDescent="0.3">
      <c r="A713" s="30"/>
      <c r="B713" s="30"/>
    </row>
    <row r="714" spans="1:2" x14ac:dyDescent="0.3">
      <c r="A714" s="30"/>
      <c r="B714" s="30"/>
    </row>
    <row r="715" spans="1:2" x14ac:dyDescent="0.3">
      <c r="A715" s="30"/>
      <c r="B715" s="30"/>
    </row>
    <row r="716" spans="1:2" x14ac:dyDescent="0.3">
      <c r="A716" s="30"/>
      <c r="B716" s="30"/>
    </row>
    <row r="717" spans="1:2" x14ac:dyDescent="0.3">
      <c r="A717" s="30"/>
      <c r="B717" s="30"/>
    </row>
    <row r="718" spans="1:2" x14ac:dyDescent="0.3">
      <c r="A718" s="30"/>
      <c r="B718" s="30"/>
    </row>
    <row r="719" spans="1:2" x14ac:dyDescent="0.3">
      <c r="A719" s="30"/>
      <c r="B719" s="30"/>
    </row>
    <row r="720" spans="1:2" x14ac:dyDescent="0.3">
      <c r="A720" s="30"/>
      <c r="B720" s="30"/>
    </row>
    <row r="721" spans="1:2" x14ac:dyDescent="0.3">
      <c r="A721" s="30"/>
      <c r="B721" s="30"/>
    </row>
    <row r="722" spans="1:2" x14ac:dyDescent="0.3">
      <c r="A722" s="30"/>
      <c r="B722" s="30"/>
    </row>
    <row r="723" spans="1:2" x14ac:dyDescent="0.3">
      <c r="A723" s="30"/>
      <c r="B723" s="30"/>
    </row>
    <row r="724" spans="1:2" x14ac:dyDescent="0.3">
      <c r="A724" s="30"/>
      <c r="B724" s="30"/>
    </row>
    <row r="725" spans="1:2" x14ac:dyDescent="0.3">
      <c r="A725" s="30"/>
      <c r="B725" s="30"/>
    </row>
    <row r="726" spans="1:2" x14ac:dyDescent="0.3">
      <c r="A726" s="30"/>
      <c r="B726" s="30"/>
    </row>
    <row r="727" spans="1:2" x14ac:dyDescent="0.3">
      <c r="A727" s="30"/>
      <c r="B727" s="30"/>
    </row>
    <row r="728" spans="1:2" x14ac:dyDescent="0.3">
      <c r="A728" s="30"/>
      <c r="B728" s="30"/>
    </row>
    <row r="729" spans="1:2" x14ac:dyDescent="0.3">
      <c r="A729" s="30"/>
      <c r="B729" s="30"/>
    </row>
    <row r="730" spans="1:2" x14ac:dyDescent="0.3">
      <c r="A730" s="30"/>
      <c r="B730" s="30"/>
    </row>
    <row r="731" spans="1:2" x14ac:dyDescent="0.3">
      <c r="A731" s="30"/>
      <c r="B731" s="30"/>
    </row>
    <row r="732" spans="1:2" x14ac:dyDescent="0.3">
      <c r="A732" s="30"/>
      <c r="B732" s="30"/>
    </row>
    <row r="733" spans="1:2" x14ac:dyDescent="0.3">
      <c r="A733" s="30"/>
      <c r="B733" s="30"/>
    </row>
    <row r="734" spans="1:2" x14ac:dyDescent="0.3">
      <c r="A734" s="30"/>
      <c r="B734" s="30"/>
    </row>
    <row r="735" spans="1:2" x14ac:dyDescent="0.3">
      <c r="A735" s="30"/>
      <c r="B735" s="30"/>
    </row>
    <row r="736" spans="1:2" x14ac:dyDescent="0.3">
      <c r="A736" s="30"/>
      <c r="B736" s="30"/>
    </row>
    <row r="737" spans="1:2" x14ac:dyDescent="0.3">
      <c r="A737" s="30"/>
      <c r="B737" s="30"/>
    </row>
    <row r="738" spans="1:2" x14ac:dyDescent="0.3">
      <c r="A738" s="30"/>
      <c r="B738" s="30"/>
    </row>
    <row r="739" spans="1:2" x14ac:dyDescent="0.3">
      <c r="A739" s="30"/>
      <c r="B739" s="30"/>
    </row>
    <row r="740" spans="1:2" x14ac:dyDescent="0.3">
      <c r="A740" s="30"/>
      <c r="B740" s="30"/>
    </row>
    <row r="741" spans="1:2" x14ac:dyDescent="0.3">
      <c r="A741" s="30"/>
      <c r="B741" s="30"/>
    </row>
    <row r="742" spans="1:2" x14ac:dyDescent="0.3">
      <c r="A742" s="30"/>
      <c r="B742" s="30"/>
    </row>
    <row r="743" spans="1:2" x14ac:dyDescent="0.3">
      <c r="A743" s="30"/>
      <c r="B743" s="30"/>
    </row>
    <row r="744" spans="1:2" x14ac:dyDescent="0.3">
      <c r="A744" s="30"/>
      <c r="B744" s="30"/>
    </row>
    <row r="745" spans="1:2" x14ac:dyDescent="0.3">
      <c r="A745" s="30"/>
      <c r="B745" s="30"/>
    </row>
    <row r="746" spans="1:2" x14ac:dyDescent="0.3">
      <c r="A746" s="30"/>
      <c r="B746" s="30"/>
    </row>
    <row r="747" spans="1:2" x14ac:dyDescent="0.3">
      <c r="A747" s="30"/>
      <c r="B747" s="30"/>
    </row>
    <row r="748" spans="1:2" x14ac:dyDescent="0.3">
      <c r="A748" s="30"/>
      <c r="B748" s="30"/>
    </row>
    <row r="749" spans="1:2" x14ac:dyDescent="0.3">
      <c r="A749" s="30"/>
      <c r="B749" s="30"/>
    </row>
    <row r="750" spans="1:2" x14ac:dyDescent="0.3">
      <c r="A750" s="30"/>
      <c r="B750" s="30"/>
    </row>
    <row r="751" spans="1:2" x14ac:dyDescent="0.3">
      <c r="A751" s="30"/>
      <c r="B751" s="30"/>
    </row>
    <row r="752" spans="1:2" x14ac:dyDescent="0.3">
      <c r="A752" s="30"/>
      <c r="B752" s="30"/>
    </row>
    <row r="753" spans="1:2" x14ac:dyDescent="0.3">
      <c r="A753" s="30"/>
      <c r="B753" s="30"/>
    </row>
    <row r="754" spans="1:2" x14ac:dyDescent="0.3">
      <c r="A754" s="30"/>
      <c r="B754" s="30"/>
    </row>
    <row r="755" spans="1:2" x14ac:dyDescent="0.3">
      <c r="A755" s="30"/>
      <c r="B755" s="30"/>
    </row>
    <row r="756" spans="1:2" x14ac:dyDescent="0.3">
      <c r="A756" s="30"/>
      <c r="B756" s="30"/>
    </row>
    <row r="757" spans="1:2" x14ac:dyDescent="0.3">
      <c r="A757" s="30"/>
      <c r="B757" s="30"/>
    </row>
    <row r="758" spans="1:2" x14ac:dyDescent="0.3">
      <c r="A758" s="30"/>
      <c r="B758" s="30"/>
    </row>
    <row r="759" spans="1:2" x14ac:dyDescent="0.3">
      <c r="A759" s="30"/>
      <c r="B759" s="30"/>
    </row>
    <row r="760" spans="1:2" x14ac:dyDescent="0.3">
      <c r="A760" s="30"/>
      <c r="B760" s="30"/>
    </row>
    <row r="761" spans="1:2" x14ac:dyDescent="0.3">
      <c r="A761" s="30"/>
      <c r="B761" s="30"/>
    </row>
    <row r="762" spans="1:2" x14ac:dyDescent="0.3">
      <c r="A762" s="30"/>
      <c r="B762" s="30"/>
    </row>
    <row r="763" spans="1:2" x14ac:dyDescent="0.3">
      <c r="A763" s="30"/>
      <c r="B763" s="30"/>
    </row>
    <row r="764" spans="1:2" x14ac:dyDescent="0.3">
      <c r="A764" s="30"/>
      <c r="B764" s="30"/>
    </row>
    <row r="765" spans="1:2" x14ac:dyDescent="0.3">
      <c r="A765" s="30"/>
      <c r="B765" s="30"/>
    </row>
    <row r="766" spans="1:2" x14ac:dyDescent="0.3">
      <c r="A766" s="30"/>
      <c r="B766" s="30"/>
    </row>
    <row r="767" spans="1:2" x14ac:dyDescent="0.3">
      <c r="A767" s="30"/>
      <c r="B767" s="30"/>
    </row>
    <row r="768" spans="1:2" x14ac:dyDescent="0.3">
      <c r="A768" s="30"/>
      <c r="B768" s="30"/>
    </row>
    <row r="769" spans="1:2" x14ac:dyDescent="0.3">
      <c r="A769" s="30"/>
      <c r="B769" s="30"/>
    </row>
    <row r="770" spans="1:2" x14ac:dyDescent="0.3">
      <c r="A770" s="30"/>
      <c r="B770" s="30"/>
    </row>
    <row r="771" spans="1:2" x14ac:dyDescent="0.3">
      <c r="A771" s="30"/>
      <c r="B771" s="30"/>
    </row>
    <row r="772" spans="1:2" x14ac:dyDescent="0.3">
      <c r="A772" s="30"/>
      <c r="B772" s="30"/>
    </row>
    <row r="773" spans="1:2" x14ac:dyDescent="0.3">
      <c r="A773" s="30"/>
      <c r="B773" s="30"/>
    </row>
    <row r="774" spans="1:2" x14ac:dyDescent="0.3">
      <c r="A774" s="30"/>
      <c r="B774" s="30"/>
    </row>
    <row r="775" spans="1:2" x14ac:dyDescent="0.3">
      <c r="A775" s="30"/>
      <c r="B775" s="30"/>
    </row>
    <row r="776" spans="1:2" x14ac:dyDescent="0.3">
      <c r="A776" s="30"/>
      <c r="B776" s="30"/>
    </row>
    <row r="777" spans="1:2" x14ac:dyDescent="0.3">
      <c r="A777" s="30"/>
      <c r="B777" s="30"/>
    </row>
    <row r="778" spans="1:2" x14ac:dyDescent="0.3">
      <c r="A778" s="30"/>
      <c r="B778" s="30"/>
    </row>
    <row r="779" spans="1:2" x14ac:dyDescent="0.3">
      <c r="A779" s="30"/>
      <c r="B779" s="30"/>
    </row>
    <row r="780" spans="1:2" x14ac:dyDescent="0.3">
      <c r="A780" s="30"/>
      <c r="B780" s="30"/>
    </row>
    <row r="781" spans="1:2" x14ac:dyDescent="0.3">
      <c r="A781" s="30"/>
      <c r="B781" s="30"/>
    </row>
    <row r="782" spans="1:2" x14ac:dyDescent="0.3">
      <c r="A782" s="30"/>
      <c r="B782" s="30"/>
    </row>
    <row r="783" spans="1:2" x14ac:dyDescent="0.3">
      <c r="A783" s="30"/>
      <c r="B783" s="30"/>
    </row>
    <row r="784" spans="1:2" x14ac:dyDescent="0.3">
      <c r="A784" s="30"/>
      <c r="B784" s="30"/>
    </row>
    <row r="785" spans="1:2" x14ac:dyDescent="0.3">
      <c r="A785" s="30"/>
      <c r="B785" s="30"/>
    </row>
    <row r="786" spans="1:2" x14ac:dyDescent="0.3">
      <c r="A786" s="30"/>
      <c r="B786" s="30"/>
    </row>
    <row r="787" spans="1:2" x14ac:dyDescent="0.3">
      <c r="A787" s="30"/>
      <c r="B787" s="30"/>
    </row>
    <row r="788" spans="1:2" x14ac:dyDescent="0.3">
      <c r="A788" s="30"/>
      <c r="B788" s="30"/>
    </row>
    <row r="789" spans="1:2" x14ac:dyDescent="0.3">
      <c r="A789" s="30"/>
      <c r="B789" s="30"/>
    </row>
    <row r="790" spans="1:2" x14ac:dyDescent="0.3">
      <c r="A790" s="30"/>
      <c r="B790" s="30"/>
    </row>
    <row r="791" spans="1:2" x14ac:dyDescent="0.3">
      <c r="A791" s="30"/>
      <c r="B791" s="30"/>
    </row>
    <row r="792" spans="1:2" x14ac:dyDescent="0.3">
      <c r="A792" s="30"/>
      <c r="B792" s="30"/>
    </row>
    <row r="793" spans="1:2" x14ac:dyDescent="0.3">
      <c r="A793" s="30"/>
      <c r="B793" s="30"/>
    </row>
    <row r="794" spans="1:2" x14ac:dyDescent="0.3">
      <c r="A794" s="30"/>
      <c r="B794" s="30"/>
    </row>
    <row r="795" spans="1:2" x14ac:dyDescent="0.3">
      <c r="A795" s="30"/>
      <c r="B795" s="30"/>
    </row>
    <row r="796" spans="1:2" x14ac:dyDescent="0.3">
      <c r="A796" s="30"/>
      <c r="B796" s="30"/>
    </row>
    <row r="797" spans="1:2" x14ac:dyDescent="0.3">
      <c r="A797" s="30"/>
      <c r="B797" s="30"/>
    </row>
    <row r="798" spans="1:2" x14ac:dyDescent="0.3">
      <c r="A798" s="30"/>
      <c r="B798" s="30"/>
    </row>
    <row r="799" spans="1:2" x14ac:dyDescent="0.3">
      <c r="A799" s="30"/>
      <c r="B799" s="30"/>
    </row>
    <row r="800" spans="1:2" x14ac:dyDescent="0.3">
      <c r="A800" s="30"/>
      <c r="B800" s="30"/>
    </row>
    <row r="801" spans="1:2" x14ac:dyDescent="0.3">
      <c r="A801" s="30"/>
      <c r="B801" s="30"/>
    </row>
    <row r="802" spans="1:2" x14ac:dyDescent="0.3">
      <c r="A802" s="30"/>
      <c r="B802" s="30"/>
    </row>
    <row r="803" spans="1:2" x14ac:dyDescent="0.3">
      <c r="A803" s="30"/>
      <c r="B803" s="30"/>
    </row>
    <row r="804" spans="1:2" x14ac:dyDescent="0.3">
      <c r="A804" s="30"/>
      <c r="B804" s="30"/>
    </row>
    <row r="805" spans="1:2" x14ac:dyDescent="0.3">
      <c r="A805" s="30"/>
      <c r="B805" s="30"/>
    </row>
    <row r="806" spans="1:2" x14ac:dyDescent="0.3">
      <c r="A806" s="30"/>
      <c r="B806" s="30"/>
    </row>
    <row r="807" spans="1:2" x14ac:dyDescent="0.3">
      <c r="A807" s="30"/>
      <c r="B807" s="30"/>
    </row>
    <row r="808" spans="1:2" x14ac:dyDescent="0.3">
      <c r="A808" s="30"/>
      <c r="B808" s="30"/>
    </row>
    <row r="809" spans="1:2" x14ac:dyDescent="0.3">
      <c r="A809" s="30"/>
      <c r="B809" s="30"/>
    </row>
    <row r="810" spans="1:2" x14ac:dyDescent="0.3">
      <c r="A810" s="30"/>
      <c r="B810" s="30"/>
    </row>
    <row r="811" spans="1:2" x14ac:dyDescent="0.3">
      <c r="A811" s="30"/>
      <c r="B811" s="30"/>
    </row>
    <row r="812" spans="1:2" x14ac:dyDescent="0.3">
      <c r="A812" s="30"/>
      <c r="B812" s="30"/>
    </row>
    <row r="813" spans="1:2" x14ac:dyDescent="0.3">
      <c r="A813" s="30"/>
      <c r="B813" s="30"/>
    </row>
    <row r="814" spans="1:2" x14ac:dyDescent="0.3">
      <c r="A814" s="30"/>
      <c r="B814" s="30"/>
    </row>
    <row r="815" spans="1:2" x14ac:dyDescent="0.3">
      <c r="A815" s="30"/>
      <c r="B815" s="30"/>
    </row>
    <row r="816" spans="1:2" x14ac:dyDescent="0.3">
      <c r="A816" s="30"/>
      <c r="B816" s="30"/>
    </row>
    <row r="817" spans="1:2" x14ac:dyDescent="0.3">
      <c r="A817" s="30"/>
      <c r="B817" s="30"/>
    </row>
    <row r="818" spans="1:2" x14ac:dyDescent="0.3">
      <c r="A818" s="30"/>
      <c r="B818" s="30"/>
    </row>
    <row r="819" spans="1:2" x14ac:dyDescent="0.3">
      <c r="A819" s="30"/>
      <c r="B819" s="30"/>
    </row>
    <row r="820" spans="1:2" x14ac:dyDescent="0.3">
      <c r="A820" s="30"/>
      <c r="B820" s="30"/>
    </row>
    <row r="821" spans="1:2" x14ac:dyDescent="0.3">
      <c r="A821" s="30"/>
      <c r="B821" s="30"/>
    </row>
    <row r="822" spans="1:2" x14ac:dyDescent="0.3">
      <c r="A822" s="30"/>
      <c r="B822" s="30"/>
    </row>
    <row r="823" spans="1:2" x14ac:dyDescent="0.3">
      <c r="A823" s="30"/>
      <c r="B823" s="30"/>
    </row>
    <row r="824" spans="1:2" x14ac:dyDescent="0.3">
      <c r="A824" s="30"/>
      <c r="B824" s="30"/>
    </row>
    <row r="825" spans="1:2" x14ac:dyDescent="0.3">
      <c r="A825" s="30"/>
      <c r="B825" s="30"/>
    </row>
    <row r="826" spans="1:2" x14ac:dyDescent="0.3">
      <c r="A826" s="30"/>
      <c r="B826" s="30"/>
    </row>
    <row r="827" spans="1:2" x14ac:dyDescent="0.3">
      <c r="A827" s="30"/>
      <c r="B827" s="30"/>
    </row>
    <row r="828" spans="1:2" x14ac:dyDescent="0.3">
      <c r="A828" s="30"/>
      <c r="B828" s="30"/>
    </row>
    <row r="829" spans="1:2" x14ac:dyDescent="0.3">
      <c r="A829" s="30"/>
      <c r="B829" s="30"/>
    </row>
    <row r="830" spans="1:2" x14ac:dyDescent="0.3">
      <c r="A830" s="30"/>
      <c r="B830" s="30"/>
    </row>
    <row r="831" spans="1:2" x14ac:dyDescent="0.3">
      <c r="A831" s="30"/>
      <c r="B831" s="30"/>
    </row>
    <row r="832" spans="1:2" x14ac:dyDescent="0.3">
      <c r="A832" s="30"/>
      <c r="B832" s="30"/>
    </row>
    <row r="833" spans="1:2" x14ac:dyDescent="0.3">
      <c r="A833" s="30"/>
      <c r="B833" s="30"/>
    </row>
    <row r="834" spans="1:2" x14ac:dyDescent="0.3">
      <c r="A834" s="30"/>
      <c r="B834" s="30"/>
    </row>
    <row r="835" spans="1:2" x14ac:dyDescent="0.3">
      <c r="A835" s="30"/>
      <c r="B835" s="30"/>
    </row>
    <row r="836" spans="1:2" x14ac:dyDescent="0.3">
      <c r="A836" s="30"/>
      <c r="B836" s="30"/>
    </row>
    <row r="837" spans="1:2" x14ac:dyDescent="0.3">
      <c r="A837" s="30"/>
      <c r="B837" s="30"/>
    </row>
    <row r="838" spans="1:2" x14ac:dyDescent="0.3">
      <c r="A838" s="30"/>
      <c r="B838" s="30"/>
    </row>
    <row r="839" spans="1:2" x14ac:dyDescent="0.3">
      <c r="A839" s="30"/>
      <c r="B839" s="30"/>
    </row>
    <row r="840" spans="1:2" x14ac:dyDescent="0.3">
      <c r="A840" s="30"/>
      <c r="B840" s="30"/>
    </row>
    <row r="841" spans="1:2" x14ac:dyDescent="0.3">
      <c r="A841" s="30"/>
      <c r="B841" s="30"/>
    </row>
    <row r="842" spans="1:2" x14ac:dyDescent="0.3">
      <c r="A842" s="30"/>
      <c r="B842" s="30"/>
    </row>
    <row r="843" spans="1:2" x14ac:dyDescent="0.3">
      <c r="A843" s="30"/>
      <c r="B843" s="30"/>
    </row>
    <row r="844" spans="1:2" x14ac:dyDescent="0.3">
      <c r="A844" s="30"/>
      <c r="B844" s="30"/>
    </row>
    <row r="845" spans="1:2" x14ac:dyDescent="0.3">
      <c r="A845" s="30"/>
      <c r="B845" s="30"/>
    </row>
    <row r="846" spans="1:2" x14ac:dyDescent="0.3">
      <c r="A846" s="30"/>
      <c r="B846" s="30"/>
    </row>
    <row r="847" spans="1:2" x14ac:dyDescent="0.3">
      <c r="A847" s="30"/>
      <c r="B847" s="30"/>
    </row>
    <row r="848" spans="1:2" x14ac:dyDescent="0.3">
      <c r="A848" s="30"/>
      <c r="B848" s="30"/>
    </row>
    <row r="849" spans="1:2" x14ac:dyDescent="0.3">
      <c r="A849" s="30"/>
      <c r="B849" s="30"/>
    </row>
    <row r="850" spans="1:2" x14ac:dyDescent="0.3">
      <c r="A850" s="30"/>
      <c r="B850" s="30"/>
    </row>
    <row r="851" spans="1:2" x14ac:dyDescent="0.3">
      <c r="A851" s="30"/>
      <c r="B851" s="30"/>
    </row>
    <row r="852" spans="1:2" x14ac:dyDescent="0.3">
      <c r="A852" s="30"/>
      <c r="B852" s="30"/>
    </row>
    <row r="853" spans="1:2" x14ac:dyDescent="0.3">
      <c r="A853" s="30"/>
      <c r="B853" s="30"/>
    </row>
    <row r="854" spans="1:2" x14ac:dyDescent="0.3">
      <c r="A854" s="30"/>
      <c r="B854" s="30"/>
    </row>
    <row r="855" spans="1:2" x14ac:dyDescent="0.3">
      <c r="A855" s="30"/>
      <c r="B855" s="30"/>
    </row>
    <row r="856" spans="1:2" x14ac:dyDescent="0.3">
      <c r="A856" s="30"/>
      <c r="B856" s="30"/>
    </row>
    <row r="857" spans="1:2" x14ac:dyDescent="0.3">
      <c r="A857" s="30"/>
      <c r="B857" s="30"/>
    </row>
    <row r="858" spans="1:2" x14ac:dyDescent="0.3">
      <c r="A858" s="30"/>
      <c r="B858" s="30"/>
    </row>
    <row r="859" spans="1:2" x14ac:dyDescent="0.3">
      <c r="A859" s="30"/>
      <c r="B859" s="30"/>
    </row>
    <row r="860" spans="1:2" x14ac:dyDescent="0.3">
      <c r="A860" s="30"/>
      <c r="B860" s="30"/>
    </row>
    <row r="861" spans="1:2" x14ac:dyDescent="0.3">
      <c r="A861" s="30"/>
      <c r="B861" s="30"/>
    </row>
    <row r="862" spans="1:2" x14ac:dyDescent="0.3">
      <c r="A862" s="30"/>
      <c r="B862" s="30"/>
    </row>
    <row r="863" spans="1:2" x14ac:dyDescent="0.3">
      <c r="A863" s="30"/>
      <c r="B863" s="30"/>
    </row>
    <row r="864" spans="1:2" x14ac:dyDescent="0.3">
      <c r="A864" s="30"/>
      <c r="B864" s="30"/>
    </row>
    <row r="865" spans="1:2" x14ac:dyDescent="0.3">
      <c r="A865" s="30"/>
      <c r="B865" s="30"/>
    </row>
    <row r="866" spans="1:2" x14ac:dyDescent="0.3">
      <c r="A866" s="30"/>
      <c r="B866" s="30"/>
    </row>
    <row r="867" spans="1:2" x14ac:dyDescent="0.3">
      <c r="A867" s="30"/>
      <c r="B867" s="30"/>
    </row>
    <row r="868" spans="1:2" x14ac:dyDescent="0.3">
      <c r="A868" s="30"/>
      <c r="B868" s="30"/>
    </row>
    <row r="869" spans="1:2" x14ac:dyDescent="0.3">
      <c r="A869" s="30"/>
      <c r="B869" s="30"/>
    </row>
    <row r="870" spans="1:2" x14ac:dyDescent="0.3">
      <c r="A870" s="30"/>
      <c r="B870" s="30"/>
    </row>
    <row r="871" spans="1:2" x14ac:dyDescent="0.3">
      <c r="A871" s="30"/>
      <c r="B871" s="30"/>
    </row>
    <row r="872" spans="1:2" x14ac:dyDescent="0.3">
      <c r="A872" s="30"/>
      <c r="B872" s="30"/>
    </row>
    <row r="873" spans="1:2" x14ac:dyDescent="0.3">
      <c r="A873" s="30"/>
      <c r="B873" s="30"/>
    </row>
    <row r="874" spans="1:2" x14ac:dyDescent="0.3">
      <c r="A874" s="30"/>
      <c r="B874" s="30"/>
    </row>
    <row r="875" spans="1:2" x14ac:dyDescent="0.3">
      <c r="A875" s="30"/>
      <c r="B875" s="30"/>
    </row>
    <row r="876" spans="1:2" x14ac:dyDescent="0.3">
      <c r="A876" s="30"/>
      <c r="B876" s="30"/>
    </row>
    <row r="877" spans="1:2" x14ac:dyDescent="0.3">
      <c r="A877" s="30"/>
      <c r="B877" s="30"/>
    </row>
    <row r="878" spans="1:2" x14ac:dyDescent="0.3">
      <c r="A878" s="30"/>
      <c r="B878" s="30"/>
    </row>
    <row r="879" spans="1:2" x14ac:dyDescent="0.3">
      <c r="A879" s="30"/>
      <c r="B879" s="30"/>
    </row>
    <row r="880" spans="1:2" x14ac:dyDescent="0.3">
      <c r="A880" s="30"/>
      <c r="B880" s="30"/>
    </row>
    <row r="881" spans="1:2" x14ac:dyDescent="0.3">
      <c r="A881" s="30"/>
      <c r="B881" s="30"/>
    </row>
    <row r="882" spans="1:2" x14ac:dyDescent="0.3">
      <c r="A882" s="30"/>
      <c r="B882" s="30"/>
    </row>
    <row r="883" spans="1:2" x14ac:dyDescent="0.3">
      <c r="A883" s="30"/>
      <c r="B883" s="30"/>
    </row>
    <row r="884" spans="1:2" x14ac:dyDescent="0.3">
      <c r="A884" s="30"/>
      <c r="B884" s="30"/>
    </row>
    <row r="885" spans="1:2" x14ac:dyDescent="0.3">
      <c r="A885" s="30"/>
      <c r="B885" s="30"/>
    </row>
    <row r="886" spans="1:2" x14ac:dyDescent="0.3">
      <c r="A886" s="30"/>
      <c r="B886" s="30"/>
    </row>
    <row r="887" spans="1:2" x14ac:dyDescent="0.3">
      <c r="A887" s="30"/>
      <c r="B887" s="30"/>
    </row>
    <row r="888" spans="1:2" x14ac:dyDescent="0.3">
      <c r="A888" s="30"/>
      <c r="B888" s="30"/>
    </row>
    <row r="889" spans="1:2" x14ac:dyDescent="0.3">
      <c r="A889" s="30"/>
      <c r="B889" s="30"/>
    </row>
    <row r="890" spans="1:2" x14ac:dyDescent="0.3">
      <c r="A890" s="30"/>
      <c r="B890" s="30"/>
    </row>
    <row r="891" spans="1:2" x14ac:dyDescent="0.3">
      <c r="A891" s="30"/>
      <c r="B891" s="30"/>
    </row>
    <row r="892" spans="1:2" x14ac:dyDescent="0.3">
      <c r="A892" s="30"/>
      <c r="B892" s="30"/>
    </row>
    <row r="893" spans="1:2" x14ac:dyDescent="0.3">
      <c r="A893" s="30"/>
      <c r="B893" s="30"/>
    </row>
    <row r="894" spans="1:2" x14ac:dyDescent="0.3">
      <c r="A894" s="30"/>
      <c r="B894" s="30"/>
    </row>
    <row r="895" spans="1:2" x14ac:dyDescent="0.3">
      <c r="A895" s="30"/>
      <c r="B895" s="30"/>
    </row>
    <row r="896" spans="1:2" x14ac:dyDescent="0.3">
      <c r="A896" s="30"/>
      <c r="B896" s="30"/>
    </row>
    <row r="897" spans="1:2" x14ac:dyDescent="0.3">
      <c r="A897" s="30"/>
      <c r="B897" s="30"/>
    </row>
    <row r="898" spans="1:2" x14ac:dyDescent="0.3">
      <c r="A898" s="30"/>
      <c r="B898" s="30"/>
    </row>
    <row r="899" spans="1:2" x14ac:dyDescent="0.3">
      <c r="A899" s="30"/>
      <c r="B899" s="30"/>
    </row>
    <row r="900" spans="1:2" x14ac:dyDescent="0.3">
      <c r="A900" s="30"/>
      <c r="B900" s="30"/>
    </row>
    <row r="901" spans="1:2" x14ac:dyDescent="0.3">
      <c r="A901" s="30"/>
      <c r="B901" s="30"/>
    </row>
    <row r="902" spans="1:2" x14ac:dyDescent="0.3">
      <c r="A902" s="30"/>
      <c r="B902" s="30"/>
    </row>
    <row r="903" spans="1:2" x14ac:dyDescent="0.3">
      <c r="A903" s="30"/>
      <c r="B903" s="30"/>
    </row>
    <row r="904" spans="1:2" x14ac:dyDescent="0.3">
      <c r="A904" s="30"/>
      <c r="B904" s="30"/>
    </row>
    <row r="905" spans="1:2" x14ac:dyDescent="0.3">
      <c r="A905" s="30"/>
      <c r="B905" s="30"/>
    </row>
    <row r="906" spans="1:2" x14ac:dyDescent="0.3">
      <c r="A906" s="30"/>
      <c r="B906" s="30"/>
    </row>
    <row r="907" spans="1:2" x14ac:dyDescent="0.3">
      <c r="A907" s="30"/>
      <c r="B907" s="30"/>
    </row>
    <row r="908" spans="1:2" x14ac:dyDescent="0.3">
      <c r="A908" s="30"/>
      <c r="B908" s="30"/>
    </row>
    <row r="909" spans="1:2" x14ac:dyDescent="0.3">
      <c r="A909" s="30"/>
      <c r="B909" s="30"/>
    </row>
    <row r="910" spans="1:2" x14ac:dyDescent="0.3">
      <c r="A910" s="30"/>
      <c r="B910" s="30"/>
    </row>
    <row r="911" spans="1:2" x14ac:dyDescent="0.3">
      <c r="A911" s="30"/>
      <c r="B911" s="30"/>
    </row>
    <row r="912" spans="1:2" x14ac:dyDescent="0.3">
      <c r="A912" s="30"/>
      <c r="B912" s="30"/>
    </row>
    <row r="913" spans="1:2" x14ac:dyDescent="0.3">
      <c r="A913" s="30"/>
      <c r="B913" s="30"/>
    </row>
    <row r="914" spans="1:2" x14ac:dyDescent="0.3">
      <c r="A914" s="30"/>
      <c r="B914" s="30"/>
    </row>
    <row r="915" spans="1:2" x14ac:dyDescent="0.3">
      <c r="A915" s="30"/>
      <c r="B915" s="30"/>
    </row>
    <row r="916" spans="1:2" x14ac:dyDescent="0.3">
      <c r="A916" s="30"/>
      <c r="B916" s="30"/>
    </row>
    <row r="917" spans="1:2" x14ac:dyDescent="0.3">
      <c r="A917" s="30"/>
      <c r="B917" s="30"/>
    </row>
    <row r="918" spans="1:2" x14ac:dyDescent="0.3">
      <c r="A918" s="30"/>
      <c r="B918" s="30"/>
    </row>
    <row r="919" spans="1:2" x14ac:dyDescent="0.3">
      <c r="A919" s="30"/>
      <c r="B919" s="30"/>
    </row>
    <row r="920" spans="1:2" x14ac:dyDescent="0.3">
      <c r="A920" s="30"/>
      <c r="B920" s="30"/>
    </row>
    <row r="921" spans="1:2" x14ac:dyDescent="0.3">
      <c r="A921" s="30"/>
      <c r="B921" s="30"/>
    </row>
    <row r="922" spans="1:2" x14ac:dyDescent="0.3">
      <c r="A922" s="30"/>
      <c r="B922" s="30"/>
    </row>
    <row r="923" spans="1:2" x14ac:dyDescent="0.3">
      <c r="A923" s="30"/>
      <c r="B923" s="30"/>
    </row>
    <row r="924" spans="1:2" x14ac:dyDescent="0.3">
      <c r="A924" s="30"/>
      <c r="B924" s="30"/>
    </row>
    <row r="925" spans="1:2" x14ac:dyDescent="0.3">
      <c r="A925" s="30"/>
      <c r="B925" s="30"/>
    </row>
    <row r="926" spans="1:2" x14ac:dyDescent="0.3">
      <c r="A926" s="30"/>
      <c r="B926" s="30"/>
    </row>
    <row r="927" spans="1:2" x14ac:dyDescent="0.3">
      <c r="A927" s="30"/>
      <c r="B927" s="30"/>
    </row>
    <row r="928" spans="1:2" x14ac:dyDescent="0.3">
      <c r="A928" s="30"/>
      <c r="B928" s="30"/>
    </row>
    <row r="929" spans="1:2" x14ac:dyDescent="0.3">
      <c r="A929" s="30"/>
      <c r="B929" s="30"/>
    </row>
    <row r="930" spans="1:2" x14ac:dyDescent="0.3">
      <c r="A930" s="30"/>
      <c r="B930" s="30"/>
    </row>
    <row r="931" spans="1:2" x14ac:dyDescent="0.3">
      <c r="A931" s="30"/>
      <c r="B931" s="30"/>
    </row>
    <row r="932" spans="1:2" x14ac:dyDescent="0.3">
      <c r="A932" s="30"/>
      <c r="B932" s="30"/>
    </row>
    <row r="933" spans="1:2" x14ac:dyDescent="0.3">
      <c r="A933" s="30"/>
      <c r="B933" s="30"/>
    </row>
    <row r="934" spans="1:2" x14ac:dyDescent="0.3">
      <c r="A934" s="30"/>
      <c r="B934" s="30"/>
    </row>
    <row r="935" spans="1:2" x14ac:dyDescent="0.3">
      <c r="A935" s="30"/>
      <c r="B935" s="30"/>
    </row>
    <row r="936" spans="1:2" x14ac:dyDescent="0.3">
      <c r="A936" s="30"/>
      <c r="B936" s="30"/>
    </row>
    <row r="937" spans="1:2" x14ac:dyDescent="0.3">
      <c r="A937" s="30"/>
      <c r="B937" s="30"/>
    </row>
    <row r="938" spans="1:2" x14ac:dyDescent="0.3">
      <c r="A938" s="30"/>
      <c r="B938" s="30"/>
    </row>
    <row r="939" spans="1:2" x14ac:dyDescent="0.3">
      <c r="A939" s="30"/>
      <c r="B939" s="30"/>
    </row>
    <row r="940" spans="1:2" x14ac:dyDescent="0.3">
      <c r="A940" s="30"/>
      <c r="B940" s="30"/>
    </row>
    <row r="941" spans="1:2" x14ac:dyDescent="0.3">
      <c r="A941" s="30"/>
      <c r="B941" s="30"/>
    </row>
    <row r="942" spans="1:2" x14ac:dyDescent="0.3">
      <c r="A942" s="30"/>
      <c r="B942" s="30"/>
    </row>
    <row r="943" spans="1:2" x14ac:dyDescent="0.3">
      <c r="A943" s="30"/>
      <c r="B943" s="30"/>
    </row>
    <row r="944" spans="1:2" x14ac:dyDescent="0.3">
      <c r="A944" s="30"/>
      <c r="B944" s="30"/>
    </row>
    <row r="945" spans="1:2" x14ac:dyDescent="0.3">
      <c r="A945" s="30"/>
      <c r="B945" s="30"/>
    </row>
    <row r="946" spans="1:2" x14ac:dyDescent="0.3">
      <c r="A946" s="30"/>
      <c r="B946" s="30"/>
    </row>
    <row r="947" spans="1:2" x14ac:dyDescent="0.3">
      <c r="A947" s="30"/>
      <c r="B947" s="30"/>
    </row>
    <row r="948" spans="1:2" x14ac:dyDescent="0.3">
      <c r="A948" s="30"/>
      <c r="B948" s="30"/>
    </row>
    <row r="949" spans="1:2" x14ac:dyDescent="0.3">
      <c r="A949" s="30"/>
      <c r="B949" s="30"/>
    </row>
    <row r="950" spans="1:2" x14ac:dyDescent="0.3">
      <c r="A950" s="30"/>
      <c r="B950" s="30"/>
    </row>
    <row r="951" spans="1:2" x14ac:dyDescent="0.3">
      <c r="A951" s="30"/>
      <c r="B951" s="30"/>
    </row>
    <row r="952" spans="1:2" x14ac:dyDescent="0.3">
      <c r="A952" s="30"/>
      <c r="B952" s="30"/>
    </row>
    <row r="953" spans="1:2" x14ac:dyDescent="0.3">
      <c r="A953" s="30"/>
      <c r="B953" s="30"/>
    </row>
    <row r="954" spans="1:2" x14ac:dyDescent="0.3">
      <c r="A954" s="30"/>
      <c r="B954" s="30"/>
    </row>
    <row r="955" spans="1:2" x14ac:dyDescent="0.3">
      <c r="A955" s="30"/>
      <c r="B955" s="30"/>
    </row>
    <row r="956" spans="1:2" x14ac:dyDescent="0.3">
      <c r="A956" s="30"/>
      <c r="B956" s="30"/>
    </row>
    <row r="957" spans="1:2" x14ac:dyDescent="0.3">
      <c r="A957" s="30"/>
      <c r="B957" s="30"/>
    </row>
    <row r="958" spans="1:2" x14ac:dyDescent="0.3">
      <c r="A958" s="30"/>
      <c r="B958" s="30"/>
    </row>
    <row r="959" spans="1:2" x14ac:dyDescent="0.3">
      <c r="A959" s="30"/>
      <c r="B959" s="30"/>
    </row>
    <row r="960" spans="1:2" x14ac:dyDescent="0.3">
      <c r="A960" s="30"/>
      <c r="B960" s="30"/>
    </row>
    <row r="961" spans="1:2" x14ac:dyDescent="0.3">
      <c r="A961" s="30"/>
      <c r="B961" s="30"/>
    </row>
    <row r="962" spans="1:2" x14ac:dyDescent="0.3">
      <c r="A962" s="30"/>
      <c r="B962" s="30"/>
    </row>
    <row r="963" spans="1:2" x14ac:dyDescent="0.3">
      <c r="A963" s="30"/>
      <c r="B963" s="30"/>
    </row>
    <row r="964" spans="1:2" x14ac:dyDescent="0.3">
      <c r="A964" s="30"/>
      <c r="B964" s="30"/>
    </row>
    <row r="965" spans="1:2" x14ac:dyDescent="0.3">
      <c r="A965" s="30"/>
      <c r="B965" s="30"/>
    </row>
    <row r="966" spans="1:2" x14ac:dyDescent="0.3">
      <c r="A966" s="30"/>
      <c r="B966" s="30"/>
    </row>
    <row r="967" spans="1:2" x14ac:dyDescent="0.3">
      <c r="A967" s="30"/>
      <c r="B967" s="30"/>
    </row>
    <row r="968" spans="1:2" x14ac:dyDescent="0.3">
      <c r="A968" s="30"/>
      <c r="B968" s="30"/>
    </row>
    <row r="969" spans="1:2" x14ac:dyDescent="0.3">
      <c r="A969" s="30"/>
      <c r="B969" s="30"/>
    </row>
    <row r="970" spans="1:2" x14ac:dyDescent="0.3">
      <c r="A970" s="30"/>
      <c r="B970" s="30"/>
    </row>
    <row r="971" spans="1:2" x14ac:dyDescent="0.3">
      <c r="A971" s="30"/>
      <c r="B971" s="30"/>
    </row>
    <row r="972" spans="1:2" x14ac:dyDescent="0.3">
      <c r="A972" s="30"/>
      <c r="B972" s="30"/>
    </row>
    <row r="973" spans="1:2" x14ac:dyDescent="0.3">
      <c r="A973" s="30"/>
      <c r="B973" s="30"/>
    </row>
    <row r="974" spans="1:2" x14ac:dyDescent="0.3">
      <c r="A974" s="30"/>
      <c r="B974" s="30"/>
    </row>
    <row r="975" spans="1:2" x14ac:dyDescent="0.3">
      <c r="A975" s="30"/>
      <c r="B975" s="30"/>
    </row>
    <row r="976" spans="1:2" x14ac:dyDescent="0.3">
      <c r="A976" s="30"/>
      <c r="B976" s="30"/>
    </row>
    <row r="977" spans="1:2" x14ac:dyDescent="0.3">
      <c r="A977" s="30"/>
      <c r="B977" s="30"/>
    </row>
    <row r="978" spans="1:2" x14ac:dyDescent="0.3">
      <c r="A978" s="30"/>
      <c r="B978" s="30"/>
    </row>
    <row r="979" spans="1:2" x14ac:dyDescent="0.3">
      <c r="A979" s="30"/>
      <c r="B979" s="30"/>
    </row>
    <row r="980" spans="1:2" x14ac:dyDescent="0.3">
      <c r="A980" s="30"/>
      <c r="B980" s="30"/>
    </row>
    <row r="981" spans="1:2" x14ac:dyDescent="0.3">
      <c r="A981" s="30"/>
      <c r="B981" s="30"/>
    </row>
    <row r="982" spans="1:2" x14ac:dyDescent="0.3">
      <c r="A982" s="30"/>
      <c r="B982" s="30"/>
    </row>
    <row r="983" spans="1:2" x14ac:dyDescent="0.3">
      <c r="A983" s="30"/>
      <c r="B983" s="30"/>
    </row>
    <row r="984" spans="1:2" x14ac:dyDescent="0.3">
      <c r="A984" s="30"/>
      <c r="B984" s="30"/>
    </row>
    <row r="985" spans="1:2" x14ac:dyDescent="0.3">
      <c r="A985" s="30"/>
      <c r="B985" s="30"/>
    </row>
    <row r="986" spans="1:2" x14ac:dyDescent="0.3">
      <c r="A986" s="30"/>
      <c r="B986" s="30"/>
    </row>
    <row r="987" spans="1:2" x14ac:dyDescent="0.3">
      <c r="A987" s="30"/>
      <c r="B987" s="30"/>
    </row>
    <row r="988" spans="1:2" x14ac:dyDescent="0.3">
      <c r="A988" s="30"/>
      <c r="B988" s="30"/>
    </row>
    <row r="989" spans="1:2" x14ac:dyDescent="0.3">
      <c r="A989" s="30"/>
      <c r="B989" s="30"/>
    </row>
    <row r="990" spans="1:2" x14ac:dyDescent="0.3">
      <c r="A990" s="30"/>
      <c r="B990" s="30"/>
    </row>
    <row r="991" spans="1:2" x14ac:dyDescent="0.3">
      <c r="A991" s="30"/>
      <c r="B991" s="30"/>
    </row>
    <row r="992" spans="1:2" x14ac:dyDescent="0.3">
      <c r="A992" s="30"/>
      <c r="B992" s="30"/>
    </row>
    <row r="993" spans="1:2" x14ac:dyDescent="0.3">
      <c r="A993" s="30"/>
      <c r="B993" s="30"/>
    </row>
    <row r="994" spans="1:2" x14ac:dyDescent="0.3">
      <c r="A994" s="30"/>
      <c r="B994" s="30"/>
    </row>
    <row r="995" spans="1:2" x14ac:dyDescent="0.3">
      <c r="A995" s="30"/>
      <c r="B995" s="30"/>
    </row>
    <row r="996" spans="1:2" x14ac:dyDescent="0.3">
      <c r="A996" s="30"/>
      <c r="B996" s="30"/>
    </row>
    <row r="997" spans="1:2" x14ac:dyDescent="0.3">
      <c r="A997" s="30"/>
      <c r="B997" s="30"/>
    </row>
    <row r="998" spans="1:2" x14ac:dyDescent="0.3">
      <c r="A998" s="30"/>
      <c r="B998" s="30"/>
    </row>
    <row r="999" spans="1:2" x14ac:dyDescent="0.3">
      <c r="A999" s="30"/>
      <c r="B999" s="30"/>
    </row>
    <row r="1000" spans="1:2" x14ac:dyDescent="0.3">
      <c r="A1000" s="30"/>
      <c r="B1000" s="30"/>
    </row>
    <row r="1001" spans="1:2" x14ac:dyDescent="0.3">
      <c r="A1001" s="30"/>
      <c r="B1001" s="30"/>
    </row>
    <row r="1002" spans="1:2" x14ac:dyDescent="0.3">
      <c r="A1002" s="30"/>
      <c r="B1002" s="30"/>
    </row>
    <row r="1003" spans="1:2" x14ac:dyDescent="0.3">
      <c r="A1003" s="30"/>
      <c r="B1003" s="30"/>
    </row>
    <row r="1004" spans="1:2" x14ac:dyDescent="0.3">
      <c r="A1004" s="30"/>
      <c r="B1004" s="30"/>
    </row>
    <row r="1005" spans="1:2" x14ac:dyDescent="0.3">
      <c r="A1005" s="30"/>
      <c r="B1005" s="30"/>
    </row>
    <row r="1006" spans="1:2" x14ac:dyDescent="0.3">
      <c r="A1006" s="30"/>
      <c r="B1006" s="30"/>
    </row>
    <row r="1007" spans="1:2" x14ac:dyDescent="0.3">
      <c r="A1007" s="30"/>
      <c r="B1007" s="30"/>
    </row>
    <row r="1008" spans="1:2" x14ac:dyDescent="0.3">
      <c r="A1008" s="30"/>
      <c r="B1008" s="30"/>
    </row>
    <row r="1009" spans="1:2" x14ac:dyDescent="0.3">
      <c r="A1009" s="30"/>
      <c r="B1009" s="30"/>
    </row>
    <row r="1010" spans="1:2" x14ac:dyDescent="0.3">
      <c r="A1010" s="30"/>
      <c r="B1010" s="30"/>
    </row>
    <row r="1011" spans="1:2" x14ac:dyDescent="0.3">
      <c r="A1011" s="30"/>
      <c r="B1011" s="30"/>
    </row>
    <row r="1012" spans="1:2" x14ac:dyDescent="0.3">
      <c r="A1012" s="30"/>
      <c r="B1012" s="30"/>
    </row>
    <row r="1013" spans="1:2" x14ac:dyDescent="0.3">
      <c r="A1013" s="30"/>
      <c r="B1013" s="30"/>
    </row>
    <row r="1014" spans="1:2" x14ac:dyDescent="0.3">
      <c r="A1014" s="30"/>
      <c r="B1014" s="30"/>
    </row>
    <row r="1015" spans="1:2" x14ac:dyDescent="0.3">
      <c r="A1015" s="30"/>
      <c r="B1015" s="30"/>
    </row>
    <row r="1016" spans="1:2" x14ac:dyDescent="0.3">
      <c r="A1016" s="30"/>
      <c r="B1016" s="30"/>
    </row>
    <row r="1017" spans="1:2" x14ac:dyDescent="0.3">
      <c r="A1017" s="30"/>
      <c r="B1017" s="30"/>
    </row>
    <row r="1018" spans="1:2" x14ac:dyDescent="0.3">
      <c r="A1018" s="30"/>
      <c r="B1018" s="30"/>
    </row>
    <row r="1019" spans="1:2" x14ac:dyDescent="0.3">
      <c r="A1019" s="30"/>
      <c r="B1019" s="30"/>
    </row>
    <row r="1020" spans="1:2" x14ac:dyDescent="0.3">
      <c r="A1020" s="30"/>
      <c r="B1020" s="30"/>
    </row>
    <row r="1021" spans="1:2" x14ac:dyDescent="0.3">
      <c r="A1021" s="30"/>
      <c r="B1021" s="30"/>
    </row>
    <row r="1022" spans="1:2" x14ac:dyDescent="0.3">
      <c r="A1022" s="30"/>
      <c r="B1022" s="30"/>
    </row>
    <row r="1023" spans="1:2" x14ac:dyDescent="0.3">
      <c r="A1023" s="30"/>
      <c r="B1023" s="30"/>
    </row>
    <row r="1024" spans="1:2" x14ac:dyDescent="0.3">
      <c r="A1024" s="30"/>
      <c r="B1024" s="30"/>
    </row>
    <row r="1025" spans="1:2" x14ac:dyDescent="0.3">
      <c r="A1025" s="30"/>
      <c r="B1025" s="30"/>
    </row>
    <row r="1026" spans="1:2" x14ac:dyDescent="0.3">
      <c r="A1026" s="30"/>
      <c r="B1026" s="30"/>
    </row>
    <row r="1027" spans="1:2" x14ac:dyDescent="0.3">
      <c r="A1027" s="30"/>
      <c r="B1027" s="30"/>
    </row>
    <row r="1028" spans="1:2" x14ac:dyDescent="0.3">
      <c r="A1028" s="30"/>
      <c r="B1028" s="30"/>
    </row>
    <row r="1029" spans="1:2" x14ac:dyDescent="0.3">
      <c r="A1029" s="30"/>
      <c r="B1029" s="30"/>
    </row>
    <row r="1030" spans="1:2" x14ac:dyDescent="0.3">
      <c r="A1030" s="30"/>
      <c r="B1030" s="30"/>
    </row>
    <row r="1031" spans="1:2" x14ac:dyDescent="0.3">
      <c r="A1031" s="30"/>
      <c r="B1031" s="30"/>
    </row>
    <row r="1032" spans="1:2" x14ac:dyDescent="0.3">
      <c r="A1032" s="30"/>
      <c r="B1032" s="30"/>
    </row>
    <row r="1033" spans="1:2" x14ac:dyDescent="0.3">
      <c r="A1033" s="30"/>
      <c r="B1033" s="30"/>
    </row>
    <row r="1034" spans="1:2" x14ac:dyDescent="0.3">
      <c r="A1034" s="30"/>
      <c r="B1034" s="30"/>
    </row>
    <row r="1035" spans="1:2" x14ac:dyDescent="0.3">
      <c r="A1035" s="30"/>
      <c r="B1035" s="30"/>
    </row>
    <row r="1036" spans="1:2" x14ac:dyDescent="0.3">
      <c r="A1036" s="30"/>
      <c r="B1036" s="30"/>
    </row>
    <row r="1037" spans="1:2" x14ac:dyDescent="0.3">
      <c r="A1037" s="30"/>
      <c r="B1037" s="30"/>
    </row>
    <row r="1038" spans="1:2" x14ac:dyDescent="0.3">
      <c r="A1038" s="30"/>
      <c r="B1038" s="30"/>
    </row>
    <row r="1039" spans="1:2" x14ac:dyDescent="0.3">
      <c r="A1039" s="30"/>
      <c r="B1039" s="30"/>
    </row>
    <row r="1040" spans="1:2" x14ac:dyDescent="0.3">
      <c r="A1040" s="30"/>
      <c r="B1040" s="30"/>
    </row>
    <row r="1041" spans="1:2" x14ac:dyDescent="0.3">
      <c r="A1041" s="30"/>
      <c r="B1041" s="30"/>
    </row>
    <row r="1042" spans="1:2" x14ac:dyDescent="0.3">
      <c r="A1042" s="30"/>
      <c r="B1042" s="30"/>
    </row>
    <row r="1043" spans="1:2" x14ac:dyDescent="0.3">
      <c r="A1043" s="30"/>
      <c r="B1043" s="30"/>
    </row>
    <row r="1044" spans="1:2" x14ac:dyDescent="0.3">
      <c r="A1044" s="30"/>
      <c r="B1044" s="30"/>
    </row>
    <row r="1045" spans="1:2" x14ac:dyDescent="0.3">
      <c r="A1045" s="30"/>
      <c r="B1045" s="30"/>
    </row>
    <row r="1046" spans="1:2" x14ac:dyDescent="0.3">
      <c r="A1046" s="30"/>
      <c r="B1046" s="30"/>
    </row>
    <row r="1047" spans="1:2" x14ac:dyDescent="0.3">
      <c r="A1047" s="30"/>
      <c r="B1047" s="30"/>
    </row>
    <row r="1048" spans="1:2" x14ac:dyDescent="0.3">
      <c r="A1048" s="30"/>
      <c r="B1048" s="30"/>
    </row>
    <row r="1049" spans="1:2" x14ac:dyDescent="0.3">
      <c r="A1049" s="30"/>
      <c r="B1049" s="30"/>
    </row>
    <row r="1050" spans="1:2" x14ac:dyDescent="0.3">
      <c r="A1050" s="30"/>
      <c r="B1050" s="30"/>
    </row>
    <row r="1051" spans="1:2" x14ac:dyDescent="0.3">
      <c r="A1051" s="30"/>
      <c r="B1051" s="30"/>
    </row>
    <row r="1052" spans="1:2" x14ac:dyDescent="0.3">
      <c r="A1052" s="30"/>
      <c r="B1052" s="30"/>
    </row>
    <row r="1053" spans="1:2" x14ac:dyDescent="0.3">
      <c r="A1053" s="30"/>
      <c r="B1053" s="30"/>
    </row>
    <row r="1054" spans="1:2" x14ac:dyDescent="0.3">
      <c r="A1054" s="30"/>
      <c r="B1054" s="30"/>
    </row>
    <row r="1055" spans="1:2" x14ac:dyDescent="0.3">
      <c r="A1055" s="30"/>
      <c r="B1055" s="30"/>
    </row>
    <row r="1056" spans="1:2" x14ac:dyDescent="0.3">
      <c r="A1056" s="30"/>
      <c r="B1056" s="30"/>
    </row>
    <row r="1057" spans="1:2" x14ac:dyDescent="0.3">
      <c r="A1057" s="30"/>
      <c r="B1057" s="30"/>
    </row>
    <row r="1058" spans="1:2" x14ac:dyDescent="0.3">
      <c r="A1058" s="30"/>
      <c r="B1058" s="30"/>
    </row>
    <row r="1059" spans="1:2" x14ac:dyDescent="0.3">
      <c r="A1059" s="30"/>
      <c r="B1059" s="30"/>
    </row>
    <row r="1060" spans="1:2" x14ac:dyDescent="0.3">
      <c r="A1060" s="30"/>
      <c r="B1060" s="30"/>
    </row>
    <row r="1061" spans="1:2" x14ac:dyDescent="0.3">
      <c r="A1061" s="30"/>
      <c r="B1061" s="30"/>
    </row>
    <row r="1062" spans="1:2" x14ac:dyDescent="0.3">
      <c r="A1062" s="30"/>
      <c r="B1062" s="30"/>
    </row>
    <row r="1063" spans="1:2" x14ac:dyDescent="0.3">
      <c r="A1063" s="30"/>
      <c r="B1063" s="30"/>
    </row>
    <row r="1064" spans="1:2" x14ac:dyDescent="0.3">
      <c r="A1064" s="30"/>
      <c r="B1064" s="30"/>
    </row>
    <row r="1065" spans="1:2" x14ac:dyDescent="0.3">
      <c r="A1065" s="30"/>
      <c r="B1065" s="30"/>
    </row>
    <row r="1066" spans="1:2" x14ac:dyDescent="0.3">
      <c r="A1066" s="30"/>
      <c r="B1066" s="30"/>
    </row>
    <row r="1067" spans="1:2" x14ac:dyDescent="0.3">
      <c r="A1067" s="30"/>
      <c r="B1067" s="30"/>
    </row>
    <row r="1068" spans="1:2" x14ac:dyDescent="0.3">
      <c r="A1068" s="30"/>
      <c r="B1068" s="30"/>
    </row>
    <row r="1069" spans="1:2" x14ac:dyDescent="0.3">
      <c r="A1069" s="30"/>
      <c r="B1069" s="30"/>
    </row>
    <row r="1070" spans="1:2" x14ac:dyDescent="0.3">
      <c r="A1070" s="30"/>
      <c r="B1070" s="30"/>
    </row>
    <row r="1071" spans="1:2" x14ac:dyDescent="0.3">
      <c r="A1071" s="30"/>
      <c r="B1071" s="30"/>
    </row>
    <row r="1072" spans="1:2" x14ac:dyDescent="0.3">
      <c r="A1072" s="30"/>
      <c r="B1072" s="30"/>
    </row>
    <row r="1073" spans="1:2" x14ac:dyDescent="0.3">
      <c r="A1073" s="30"/>
      <c r="B1073" s="30"/>
    </row>
    <row r="1074" spans="1:2" x14ac:dyDescent="0.3">
      <c r="A1074" s="30"/>
      <c r="B1074" s="30"/>
    </row>
    <row r="1075" spans="1:2" x14ac:dyDescent="0.3">
      <c r="A1075" s="30"/>
      <c r="B1075" s="30"/>
    </row>
    <row r="1076" spans="1:2" x14ac:dyDescent="0.3">
      <c r="A1076" s="30"/>
      <c r="B1076" s="30"/>
    </row>
    <row r="1077" spans="1:2" x14ac:dyDescent="0.3">
      <c r="A1077" s="30"/>
      <c r="B1077" s="30"/>
    </row>
    <row r="1078" spans="1:2" x14ac:dyDescent="0.3">
      <c r="A1078" s="30"/>
      <c r="B1078" s="30"/>
    </row>
    <row r="1079" spans="1:2" x14ac:dyDescent="0.3">
      <c r="A1079" s="30"/>
      <c r="B1079" s="30"/>
    </row>
    <row r="1080" spans="1:2" x14ac:dyDescent="0.3">
      <c r="A1080" s="30"/>
      <c r="B1080" s="30"/>
    </row>
    <row r="1081" spans="1:2" x14ac:dyDescent="0.3">
      <c r="A1081" s="30"/>
      <c r="B1081" s="30"/>
    </row>
    <row r="1082" spans="1:2" x14ac:dyDescent="0.3">
      <c r="A1082" s="30"/>
      <c r="B1082" s="30"/>
    </row>
    <row r="1083" spans="1:2" x14ac:dyDescent="0.3">
      <c r="A1083" s="30"/>
      <c r="B1083" s="30"/>
    </row>
    <row r="1084" spans="1:2" x14ac:dyDescent="0.3">
      <c r="A1084" s="30"/>
      <c r="B1084" s="30"/>
    </row>
    <row r="1085" spans="1:2" x14ac:dyDescent="0.3">
      <c r="A1085" s="30"/>
      <c r="B1085" s="30"/>
    </row>
    <row r="1086" spans="1:2" x14ac:dyDescent="0.3">
      <c r="A1086" s="30"/>
      <c r="B1086" s="30"/>
    </row>
    <row r="1087" spans="1:2" x14ac:dyDescent="0.3">
      <c r="A1087" s="30"/>
      <c r="B1087" s="30"/>
    </row>
    <row r="1088" spans="1:2" x14ac:dyDescent="0.3">
      <c r="A1088" s="30"/>
      <c r="B1088" s="30"/>
    </row>
    <row r="1089" spans="1:2" x14ac:dyDescent="0.3">
      <c r="A1089" s="30"/>
      <c r="B1089" s="30"/>
    </row>
    <row r="1090" spans="1:2" x14ac:dyDescent="0.3">
      <c r="A1090" s="30"/>
      <c r="B1090" s="30"/>
    </row>
    <row r="1091" spans="1:2" x14ac:dyDescent="0.3">
      <c r="A1091" s="30"/>
      <c r="B1091" s="30"/>
    </row>
    <row r="1092" spans="1:2" x14ac:dyDescent="0.3">
      <c r="A1092" s="30"/>
      <c r="B1092" s="30"/>
    </row>
    <row r="1093" spans="1:2" x14ac:dyDescent="0.3">
      <c r="A1093" s="30"/>
      <c r="B1093" s="30"/>
    </row>
    <row r="1094" spans="1:2" x14ac:dyDescent="0.3">
      <c r="A1094" s="30"/>
      <c r="B1094" s="30"/>
    </row>
    <row r="1095" spans="1:2" x14ac:dyDescent="0.3">
      <c r="A1095" s="30"/>
      <c r="B1095" s="30"/>
    </row>
    <row r="1096" spans="1:2" x14ac:dyDescent="0.3">
      <c r="A1096" s="30"/>
      <c r="B1096" s="30"/>
    </row>
    <row r="1097" spans="1:2" x14ac:dyDescent="0.3">
      <c r="A1097" s="30"/>
      <c r="B1097" s="30"/>
    </row>
    <row r="1098" spans="1:2" x14ac:dyDescent="0.3">
      <c r="A1098" s="30"/>
      <c r="B1098" s="30"/>
    </row>
    <row r="1099" spans="1:2" x14ac:dyDescent="0.3">
      <c r="A1099" s="30"/>
      <c r="B1099" s="30"/>
    </row>
    <row r="1100" spans="1:2" x14ac:dyDescent="0.3">
      <c r="A1100" s="30"/>
      <c r="B1100" s="30"/>
    </row>
    <row r="1101" spans="1:2" x14ac:dyDescent="0.3">
      <c r="A1101" s="30"/>
      <c r="B1101" s="30"/>
    </row>
    <row r="1102" spans="1:2" x14ac:dyDescent="0.3">
      <c r="A1102" s="30"/>
      <c r="B1102" s="30"/>
    </row>
    <row r="1103" spans="1:2" x14ac:dyDescent="0.3">
      <c r="A1103" s="30"/>
      <c r="B1103" s="30"/>
    </row>
    <row r="1104" spans="1:2" x14ac:dyDescent="0.3">
      <c r="A1104" s="30"/>
      <c r="B1104" s="30"/>
    </row>
    <row r="1105" spans="1:2" x14ac:dyDescent="0.3">
      <c r="A1105" s="30"/>
      <c r="B1105" s="30"/>
    </row>
    <row r="1106" spans="1:2" x14ac:dyDescent="0.3">
      <c r="A1106" s="30"/>
      <c r="B1106" s="30"/>
    </row>
    <row r="1107" spans="1:2" x14ac:dyDescent="0.3">
      <c r="A1107" s="30"/>
      <c r="B1107" s="30"/>
    </row>
    <row r="1108" spans="1:2" x14ac:dyDescent="0.3">
      <c r="A1108" s="30"/>
      <c r="B1108" s="30"/>
    </row>
    <row r="1109" spans="1:2" x14ac:dyDescent="0.3">
      <c r="A1109" s="30"/>
      <c r="B1109" s="30"/>
    </row>
    <row r="1110" spans="1:2" x14ac:dyDescent="0.3">
      <c r="A1110" s="30"/>
      <c r="B1110" s="30"/>
    </row>
  </sheetData>
  <mergeCells count="5">
    <mergeCell ref="A2:B2"/>
    <mergeCell ref="A3:B3"/>
    <mergeCell ref="A4:B4"/>
    <mergeCell ref="A17:B17"/>
    <mergeCell ref="A18:B18"/>
  </mergeCells>
  <conditionalFormatting sqref="C18">
    <cfRule type="cellIs" dxfId="1" priority="1" operator="lessThan">
      <formula>0</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dimension ref="A1:L18"/>
  <sheetViews>
    <sheetView workbookViewId="0">
      <selection activeCell="L2" sqref="L2"/>
    </sheetView>
  </sheetViews>
  <sheetFormatPr defaultRowHeight="14.4" x14ac:dyDescent="0.3"/>
  <cols>
    <col min="1" max="1" width="16.109375" customWidth="1"/>
    <col min="2" max="2" width="14.44140625" customWidth="1"/>
    <col min="3" max="3" width="28.6640625" customWidth="1"/>
    <col min="4" max="4" width="25.44140625" customWidth="1"/>
  </cols>
  <sheetData>
    <row r="1" spans="1:12" ht="60" x14ac:dyDescent="0.95">
      <c r="A1" s="3" t="s">
        <v>0</v>
      </c>
      <c r="B1" s="4"/>
      <c r="C1" s="3"/>
      <c r="D1" s="3"/>
    </row>
    <row r="2" spans="1:12" ht="19.2" x14ac:dyDescent="0.35">
      <c r="A2" s="85" t="s">
        <v>1</v>
      </c>
      <c r="B2" s="86"/>
      <c r="C2" s="8"/>
      <c r="D2" s="1"/>
      <c r="L2" s="65" t="s">
        <v>17</v>
      </c>
    </row>
    <row r="3" spans="1:12" ht="19.2" x14ac:dyDescent="0.35">
      <c r="A3" s="85" t="s">
        <v>2</v>
      </c>
      <c r="B3" s="86"/>
      <c r="C3" s="7"/>
      <c r="D3" s="1"/>
      <c r="L3" s="65" t="s">
        <v>36</v>
      </c>
    </row>
    <row r="4" spans="1:12" ht="19.2" x14ac:dyDescent="0.35">
      <c r="A4" s="85" t="s">
        <v>3</v>
      </c>
      <c r="B4" s="86"/>
      <c r="C4" s="7"/>
      <c r="D4" s="1"/>
      <c r="L4" s="65"/>
    </row>
    <row r="5" spans="1:12" ht="37.799999999999997" x14ac:dyDescent="0.65">
      <c r="A5" s="2" t="s">
        <v>4</v>
      </c>
      <c r="B5" s="5"/>
      <c r="C5" s="1"/>
      <c r="D5" s="1"/>
      <c r="L5" s="65"/>
    </row>
    <row r="6" spans="1:12" ht="16.8" x14ac:dyDescent="0.3">
      <c r="A6" s="6" t="s">
        <v>5</v>
      </c>
      <c r="B6" s="6" t="s">
        <v>6</v>
      </c>
      <c r="C6" s="6" t="s">
        <v>7</v>
      </c>
      <c r="D6" s="6" t="s">
        <v>8</v>
      </c>
    </row>
    <row r="7" spans="1:12" ht="16.8" x14ac:dyDescent="0.3">
      <c r="A7" s="8">
        <v>500000</v>
      </c>
      <c r="B7" s="6"/>
      <c r="C7" s="9">
        <v>0</v>
      </c>
      <c r="D7" s="8"/>
    </row>
    <row r="8" spans="1:12" ht="16.8" x14ac:dyDescent="0.3">
      <c r="A8" s="8">
        <v>200000</v>
      </c>
      <c r="B8" s="6"/>
      <c r="C8" s="9">
        <v>0</v>
      </c>
      <c r="D8" s="8"/>
    </row>
    <row r="9" spans="1:12" ht="16.8" x14ac:dyDescent="0.3">
      <c r="A9" s="8">
        <v>100000</v>
      </c>
      <c r="B9" s="6"/>
      <c r="C9" s="9">
        <v>0</v>
      </c>
      <c r="D9" s="8"/>
    </row>
    <row r="10" spans="1:12" ht="16.8" x14ac:dyDescent="0.3">
      <c r="A10" s="8">
        <v>50000</v>
      </c>
      <c r="B10" s="6"/>
      <c r="C10" s="9">
        <v>0</v>
      </c>
      <c r="D10" s="8"/>
    </row>
    <row r="11" spans="1:12" ht="16.8" x14ac:dyDescent="0.3">
      <c r="A11" s="8">
        <v>20000</v>
      </c>
      <c r="B11" s="6"/>
      <c r="C11" s="9">
        <v>0</v>
      </c>
      <c r="D11" s="8"/>
    </row>
    <row r="12" spans="1:12" ht="16.8" x14ac:dyDescent="0.3">
      <c r="A12" s="8">
        <v>10000</v>
      </c>
      <c r="B12" s="6"/>
      <c r="C12" s="9">
        <v>0</v>
      </c>
      <c r="D12" s="8"/>
    </row>
    <row r="13" spans="1:12" ht="16.8" x14ac:dyDescent="0.3">
      <c r="A13" s="8">
        <v>5000</v>
      </c>
      <c r="B13" s="6"/>
      <c r="C13" s="9">
        <v>0</v>
      </c>
      <c r="D13" s="8"/>
    </row>
    <row r="14" spans="1:12" ht="16.8" x14ac:dyDescent="0.3">
      <c r="A14" s="8">
        <v>2000</v>
      </c>
      <c r="B14" s="6"/>
      <c r="C14" s="9">
        <v>0</v>
      </c>
      <c r="D14" s="8"/>
    </row>
    <row r="15" spans="1:12" ht="16.8" x14ac:dyDescent="0.3">
      <c r="A15" s="8">
        <v>1000</v>
      </c>
      <c r="B15" s="6"/>
      <c r="C15" s="9">
        <v>0</v>
      </c>
      <c r="D15" s="8"/>
    </row>
    <row r="16" spans="1:12" ht="16.8" x14ac:dyDescent="0.3">
      <c r="A16" s="8">
        <v>500</v>
      </c>
      <c r="B16" s="6"/>
      <c r="C16" s="9">
        <v>0</v>
      </c>
      <c r="D16" s="8"/>
    </row>
    <row r="17" spans="1:4" ht="16.8" x14ac:dyDescent="0.3">
      <c r="A17" s="87" t="s">
        <v>9</v>
      </c>
      <c r="B17" s="88"/>
      <c r="C17" s="10">
        <v>0</v>
      </c>
      <c r="D17" s="11"/>
    </row>
    <row r="18" spans="1:4" ht="16.8" x14ac:dyDescent="0.3">
      <c r="A18" s="89" t="s">
        <v>10</v>
      </c>
      <c r="B18" s="89"/>
      <c r="C18" s="14">
        <f>C17-C2</f>
        <v>0</v>
      </c>
      <c r="D18" s="12" t="s">
        <v>15</v>
      </c>
    </row>
  </sheetData>
  <mergeCells count="5">
    <mergeCell ref="A2:B2"/>
    <mergeCell ref="A3:B3"/>
    <mergeCell ref="A4:B4"/>
    <mergeCell ref="A17:B17"/>
    <mergeCell ref="A18:B18"/>
  </mergeCells>
  <conditionalFormatting sqref="C18">
    <cfRule type="cellIs" dxfId="0" priority="1" operator="lessThan">
      <formula>0</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Sheet1</vt:lpstr>
      <vt:lpstr>BCQ</vt:lpstr>
      <vt:lpstr>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HoangTuan</cp:lastModifiedBy>
  <cp:lastPrinted>2023-02-20T15:20:37Z</cp:lastPrinted>
  <dcterms:created xsi:type="dcterms:W3CDTF">2015-06-05T18:17:20Z</dcterms:created>
  <dcterms:modified xsi:type="dcterms:W3CDTF">2023-03-27T17:00:02Z</dcterms:modified>
</cp:coreProperties>
</file>